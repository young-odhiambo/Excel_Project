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11EB4AE0-5407-45ED-BADC-1A069DD7890B}" xr6:coauthVersionLast="47" xr6:coauthVersionMax="47" xr10:uidLastSave="{00000000-0000-0000-0000-000000000000}"/>
  <bookViews>
    <workbookView xWindow="-108" yWindow="-108" windowWidth="23256" windowHeight="12456" firstSheet="7" activeTab="11" xr2:uid="{F7B68813-4006-4E6D-85EE-940294AAF926}"/>
  </bookViews>
  <sheets>
    <sheet name="KPI" sheetId="2" r:id="rId1"/>
    <sheet name="Top 10 Prodycts by Ratings" sheetId="3" r:id="rId2"/>
    <sheet name="Top10 Products by Reviews" sheetId="4" r:id="rId3"/>
    <sheet name="Top 10 Products by Discount" sheetId="5" r:id="rId4"/>
    <sheet name="Discount vs Reviews" sheetId="6" r:id="rId5"/>
    <sheet name="Ratings vs Reviews" sheetId="7" r:id="rId6"/>
    <sheet name="Product vs Rating cat" sheetId="8" r:id="rId7"/>
    <sheet name="Product vs Discount cat" sheetId="9" r:id="rId8"/>
    <sheet name="Excel_jumia_dataset_Clean" sheetId="1" r:id="rId9"/>
    <sheet name="Reviews Graph" sheetId="11" r:id="rId10"/>
    <sheet name="Dashboard" sheetId="12" r:id="rId11"/>
    <sheet name="Analysis" sheetId="16" r:id="rId12"/>
  </sheets>
  <definedNames>
    <definedName name="Slicer_Category_based_on_discount">#N/A</definedName>
    <definedName name="Slicer_Category_based_on_Rating">#N/A</definedName>
  </definedNames>
  <calcPr calcId="191029"/>
  <pivotCaches>
    <pivotCache cacheId="28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6" i="1" l="1"/>
  <c r="I3" i="1" a="1"/>
  <c r="I3" i="1" s="1"/>
  <c r="I4" i="1" a="1"/>
  <c r="I4" i="1" s="1"/>
  <c r="I5" i="1" a="1"/>
  <c r="I5" i="1" s="1"/>
  <c r="I6" i="1" a="1"/>
  <c r="I6" i="1"/>
  <c r="I7" i="1" a="1"/>
  <c r="I7" i="1" s="1"/>
  <c r="I8" i="1" a="1"/>
  <c r="I8" i="1" s="1"/>
  <c r="I9" i="1" a="1"/>
  <c r="I9" i="1" s="1"/>
  <c r="I10" i="1" a="1"/>
  <c r="I10" i="1" s="1"/>
  <c r="I11" i="1" a="1"/>
  <c r="I11" i="1" s="1"/>
  <c r="I12" i="1" a="1"/>
  <c r="I12" i="1" s="1"/>
  <c r="I13" i="1" a="1"/>
  <c r="I13" i="1" s="1"/>
  <c r="I14" i="1" a="1"/>
  <c r="I14" i="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c r="I47" i="1" a="1"/>
  <c r="I47" i="1" s="1"/>
  <c r="I48" i="1" a="1"/>
  <c r="I48" i="1" s="1"/>
  <c r="I49" i="1" a="1"/>
  <c r="I49" i="1" s="1"/>
  <c r="I50" i="1" a="1"/>
  <c r="I50" i="1" s="1"/>
  <c r="I51" i="1" a="1"/>
  <c r="I51" i="1" s="1"/>
  <c r="I52" i="1" a="1"/>
  <c r="I52" i="1" s="1"/>
  <c r="I53" i="1" a="1"/>
  <c r="I53" i="1" s="1"/>
  <c r="I54" i="1" a="1"/>
  <c r="I54" i="1" s="1"/>
  <c r="I55" i="1" a="1"/>
  <c r="I55" i="1" s="1"/>
  <c r="I56" i="1" a="1"/>
  <c r="I56" i="1"/>
  <c r="I57" i="1" a="1"/>
  <c r="I57" i="1" s="1"/>
  <c r="I58" i="1" a="1"/>
  <c r="I58" i="1" s="1"/>
  <c r="I59" i="1" a="1"/>
  <c r="I59" i="1" s="1"/>
  <c r="I60" i="1" a="1"/>
  <c r="I60" i="1" s="1"/>
  <c r="I61" i="1" a="1"/>
  <c r="I61" i="1" s="1"/>
  <c r="I62" i="1" a="1"/>
  <c r="I62" i="1"/>
  <c r="I63" i="1" a="1"/>
  <c r="I63" i="1" s="1"/>
  <c r="I64" i="1" a="1"/>
  <c r="I64" i="1" s="1"/>
  <c r="I65" i="1" a="1"/>
  <c r="I65" i="1" s="1"/>
  <c r="I66" i="1" a="1"/>
  <c r="I66" i="1" s="1"/>
  <c r="I67" i="1" a="1"/>
  <c r="I67" i="1" s="1"/>
  <c r="I68" i="1" a="1"/>
  <c r="I68" i="1" s="1"/>
  <c r="I69" i="1" a="1"/>
  <c r="I69" i="1" s="1"/>
  <c r="I70" i="1" a="1"/>
  <c r="I70" i="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c r="I103" i="1" a="1"/>
  <c r="I103" i="1" s="1"/>
  <c r="I104" i="1" a="1"/>
  <c r="I104" i="1" s="1"/>
  <c r="I105" i="1" a="1"/>
  <c r="I105" i="1" s="1"/>
  <c r="I106" i="1" a="1"/>
  <c r="I106" i="1" s="1"/>
  <c r="I107" i="1" a="1"/>
  <c r="I107" i="1" s="1"/>
  <c r="I108" i="1" a="1"/>
  <c r="I108" i="1" s="1"/>
  <c r="I109" i="1" a="1"/>
  <c r="I109" i="1" s="1"/>
  <c r="I110" i="1" a="1"/>
  <c r="I110" i="1"/>
  <c r="I111" i="1" a="1"/>
  <c r="I111" i="1" s="1"/>
  <c r="I112" i="1" a="1"/>
  <c r="I112" i="1" s="1"/>
  <c r="I113" i="1" a="1"/>
  <c r="I113" i="1" s="1"/>
  <c r="I2" i="1" a="1"/>
  <c r="I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<sst xmlns="http://schemas.openxmlformats.org/spreadsheetml/2006/main" count="304" uniqueCount="134">
  <si>
    <t>Product</t>
  </si>
  <si>
    <t>Current price</t>
  </si>
  <si>
    <t>old price</t>
  </si>
  <si>
    <t>Discount</t>
  </si>
  <si>
    <t>Review</t>
  </si>
  <si>
    <t>Ratings</t>
  </si>
  <si>
    <t>ABS Discount</t>
  </si>
  <si>
    <t>Category based on Rating</t>
  </si>
  <si>
    <t>115  Piece Set Of Multifunctional Precision Screwdrivers</t>
  </si>
  <si>
    <t>Excellent</t>
  </si>
  <si>
    <t>Medium Discount</t>
  </si>
  <si>
    <t>Poor</t>
  </si>
  <si>
    <t>Metal Decorative Hooks Key Hangers Entryway Wall Hooks Towel Hooks - Home</t>
  </si>
  <si>
    <t>Average</t>
  </si>
  <si>
    <t>High Discount</t>
  </si>
  <si>
    <t>Portable Mini Cordless Car Vacuum Cleaner - Blue</t>
  </si>
  <si>
    <t>Weighing Scale Digital Bathroom Body Fat Scale USB-Black</t>
  </si>
  <si>
    <t>Portable Home Small Air Humidifier 3-Speed Fan - Green</t>
  </si>
  <si>
    <t>220V 60W Electric Soldering Iron Kits With Tools, Tips, And Multimeter</t>
  </si>
  <si>
    <t>Low Discount</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</si>
  <si>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</si>
  <si>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</si>
  <si>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</si>
  <si>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</si>
  <si>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</si>
  <si>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</si>
  <si>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</si>
  <si>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</si>
  <si>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</si>
  <si>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</si>
  <si>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</si>
  <si>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</si>
  <si>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</si>
  <si>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</si>
  <si>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</si>
  <si>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</si>
  <si>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Unknown</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</si>
  <si>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</si>
  <si>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</si>
  <si>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</si>
  <si>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</si>
  <si>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</si>
  <si>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</si>
  <si>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</si>
  <si>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</si>
  <si>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</si>
  <si>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</si>
  <si>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</si>
  <si>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</si>
  <si>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</si>
  <si>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</si>
  <si>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</si>
  <si>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</si>
  <si>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</si>
  <si>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</si>
  <si>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</si>
  <si>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</si>
  <si>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</si>
  <si>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</si>
  <si>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</si>
  <si>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</si>
  <si>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</si>
  <si>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</si>
  <si>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</si>
  <si>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</si>
  <si>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</si>
  <si>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</si>
  <si>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</si>
  <si>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</si>
  <si>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</si>
  <si>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</si>
  <si>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</si>
  <si>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</si>
  <si>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</si>
  <si>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</si>
  <si>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</si>
  <si>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</si>
  <si>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</si>
  <si>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</si>
  <si>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</si>
  <si>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</si>
  <si>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</si>
  <si>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</si>
  <si>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</si>
  <si>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</si>
  <si>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</si>
  <si>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</si>
  <si>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</si>
  <si>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</si>
  <si>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</si>
  <si>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</si>
  <si>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</si>
  <si>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</si>
  <si>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</si>
  <si>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</si>
  <si>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</si>
  <si>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</si>
  <si>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</si>
  <si>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</si>
  <si>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</si>
  <si>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</si>
  <si>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</si>
  <si>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</si>
  <si>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</si>
  <si>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</si>
  <si>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</si>
  <si>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</si>
  <si>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</si>
  <si>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</si>
  <si>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</si>
  <si>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</si>
  <si>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</si>
  <si>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</si>
  <si>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</si>
  <si>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</si>
  <si>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</si>
  <si>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</si>
  <si>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</si>
  <si>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</si>
  <si>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</si>
  <si>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</si>
  <si>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</si>
  <si>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</si>
  <si>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</si>
  <si>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Most Expensive = 32PCS Portable Cordless Drill Set With Cyclic Battery Drive -26 Variable Speed</t>
  </si>
  <si>
    <t>Least Expensive = 3PCS Single Head Knitting Crochet Sweater Needle Set</t>
  </si>
  <si>
    <t>Category based on discount</t>
  </si>
  <si>
    <t>Count of Product</t>
  </si>
  <si>
    <t>Average of Discount</t>
  </si>
  <si>
    <t>Sum of Review</t>
  </si>
  <si>
    <t>Average of Ratings</t>
  </si>
  <si>
    <t>Row Labels</t>
  </si>
  <si>
    <t>Grand Total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</si>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</sst>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1" tint="0.49998474074526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9" fontId="0" fillId="0" borderId="0" xfId="0" applyNumberFormat="1"/>
    <xf numFmtId="2" fontId="0" fillId="0" borderId="0" xfId="0" applyNumberFormat="1"/>
    <xf numFmtId="1"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35" borderId="0" xfId="0" applyFill="1"/>
    <xf numFmtId="1" fontId="0" fillId="34" borderId="12" xfId="1" applyNumberFormat="1" applyFont="1" applyFill="1" applyBorder="1"/>
    <xf numFmtId="9" fontId="0" fillId="34" borderId="12" xfId="1" applyFont="1" applyFill="1" applyBorder="1"/>
    <xf numFmtId="0" fontId="0" fillId="34" borderId="12" xfId="0" applyFill="1" applyBorder="1"/>
    <xf numFmtId="1" fontId="0" fillId="0" borderId="12" xfId="1" applyNumberFormat="1" applyFont="1" applyBorder="1"/>
    <xf numFmtId="9" fontId="0" fillId="0" borderId="12" xfId="1" applyFont="1" applyBorder="1"/>
    <xf numFmtId="0" fontId="0" fillId="0" borderId="12" xfId="0" applyBorder="1"/>
    <xf numFmtId="0" fontId="0" fillId="0" borderId="11" xfId="0" applyBorder="1"/>
    <xf numFmtId="9" fontId="13" fillId="33" borderId="13" xfId="0" applyNumberFormat="1" applyFont="1" applyFill="1" applyBorder="1"/>
    <xf numFmtId="0" fontId="13" fillId="33" borderId="12" xfId="0" applyFont="1" applyFill="1" applyBorder="1"/>
    <xf numFmtId="0" fontId="13" fillId="33" borderId="15" xfId="1" applyNumberFormat="1" applyFont="1" applyFill="1" applyBorder="1"/>
    <xf numFmtId="9" fontId="0" fillId="34" borderId="13" xfId="0" applyNumberFormat="1" applyFill="1" applyBorder="1"/>
    <xf numFmtId="1" fontId="0" fillId="34" borderId="15" xfId="1" applyNumberFormat="1" applyFont="1" applyFill="1" applyBorder="1"/>
    <xf numFmtId="9" fontId="0" fillId="0" borderId="13" xfId="0" applyNumberFormat="1" applyBorder="1"/>
    <xf numFmtId="1" fontId="0" fillId="0" borderId="15" xfId="1" applyNumberFormat="1" applyFont="1" applyBorder="1"/>
    <xf numFmtId="9" fontId="0" fillId="0" borderId="10" xfId="0" applyNumberFormat="1" applyBorder="1"/>
    <xf numFmtId="1" fontId="0" fillId="0" borderId="14" xfId="1" applyNumberFormat="1" applyFont="1" applyBorder="1"/>
    <xf numFmtId="0" fontId="13" fillId="33" borderId="0" xfId="1" applyNumberFormat="1" applyFont="1" applyFill="1" applyBorder="1"/>
    <xf numFmtId="0" fontId="0" fillId="0" borderId="0" xfId="0" applyNumberFormat="1"/>
    <xf numFmtId="0" fontId="0" fillId="36"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1">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numFmt numFmtId="0" formatCode="General"/>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[Excel_jumia_dataset_Clean.xlsx]Top 10 Prodycts by Ratings!PivotTable4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10 Products by Ratings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Prodycts by Ratings'!$B$3</c:f>
              <c:strCache>
                <c:ptCount val="1"/>
                <c:pt idx="0">
                  <c:v>Total</c:v>
                </c:pt>
              </c:strCache>
            </c:strRef>
          </c:tx>
          <c:spPr>
            <a:solidFill>
              <a:schemeClr val="accent1"/>
            </a:solidFill>
            <a:ln>
              <a:noFill/>
            </a:ln>
            <a:effectLst/>
          </c:spPr>
          <c:invertIfNegative val="0"/>
          <c:cat>
            <c:strRef>
              <c:f>'Top 10 Prodycts by Ratings'!$A$4:$A$14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10 Prodycts by Ratings'!$B$4:$B$14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72AC-4039-94CF-E3872588169B}"/>
            </c:ext>
          </c:extLst>
        </c:ser>
        <c:dLbls>
          <c:showLegendKey val="0"/>
          <c:showVal val="0"/>
          <c:showCatName val="0"/>
          <c:showSerName val="0"/>
          <c:showPercent val="0"/>
          <c:showBubbleSize val="0"/>
        </c:dLbls>
        <c:gapWidth val="219"/>
        <c:overlap val="-27"/>
        <c:axId val="945845167"/>
        <c:axId val="945859567"/>
      </c:barChart>
      <c:catAx>
        <c:axId val="9458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59567"/>
        <c:crosses val="autoZero"/>
        <c:auto val="1"/>
        <c:lblAlgn val="ctr"/>
        <c:lblOffset val="100"/>
        <c:noMultiLvlLbl val="0"/>
      </c:catAx>
      <c:valAx>
        <c:axId val="94585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4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[Excel_jumia_dataset_Clean.xlsx]Top10 Products by Reviews!PivotTable5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10 Products by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94094488188977"/>
          <c:y val="0.17171296296296298"/>
          <c:w val="0.79572572178477685"/>
          <c:h val="0.40669911052785068"/>
        </c:manualLayout>
      </c:layout>
      <c:barChart>
        <c:barDir val="col"/>
        <c:grouping val="clustered"/>
        <c:varyColors val="0"/>
        <c:ser>
          <c:idx val="0"/>
          <c:order val="0"/>
          <c:tx>
            <c:strRef>
              <c:f>'Top10 Products by Reviews'!$B$3</c:f>
              <c:strCache>
                <c:ptCount val="1"/>
                <c:pt idx="0">
                  <c:v>Total</c:v>
                </c:pt>
              </c:strCache>
            </c:strRef>
          </c:tx>
          <c:spPr>
            <a:solidFill>
              <a:schemeClr val="accent1"/>
            </a:solidFill>
            <a:ln>
              <a:noFill/>
            </a:ln>
            <a:effectLst/>
          </c:spPr>
          <c:invertIfNegative val="0"/>
          <c:cat>
            <c:strRef>
              <c:f>'Top10 Products by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53 Pieces/Set Yarn Knitting Crochet Hooks With Bag - Pansies</c:v>
                </c:pt>
                <c:pt idx="5">
                  <c:v>Agapeon Toothbrush Holder And Toothpaste Dispenser</c:v>
                </c:pt>
                <c:pt idx="6">
                  <c:v>Electronic Digital Display Vernier Caliper</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'Top10 Products by Reviews'!$B$4:$B$14</c:f>
              <c:numCache>
                <c:formatCode>General</c:formatCode>
                <c:ptCount val="10"/>
                <c:pt idx="0">
                  <c:v>39</c:v>
                </c:pt>
                <c:pt idx="1">
                  <c:v>69</c:v>
                </c:pt>
                <c:pt idx="2">
                  <c:v>55</c:v>
                </c:pt>
                <c:pt idx="3">
                  <c:v>44</c:v>
                </c:pt>
                <c:pt idx="4">
                  <c:v>32</c:v>
                </c:pt>
                <c:pt idx="5">
                  <c:v>17</c:v>
                </c:pt>
                <c:pt idx="6">
                  <c:v>49</c:v>
                </c:pt>
                <c:pt idx="7">
                  <c:v>24</c:v>
                </c:pt>
                <c:pt idx="8">
                  <c:v>36</c:v>
                </c:pt>
                <c:pt idx="9">
                  <c:v>16</c:v>
                </c:pt>
              </c:numCache>
            </c:numRef>
          </c:val>
          <c:extLst>
            <c:ext xmlns:c16="http://schemas.microsoft.com/office/drawing/2014/chart" uri="{C3380CC4-5D6E-409C-BE32-E72D297353CC}">
              <c16:uniqueId val="{00000000-94E7-475D-A39E-7203761ED283}"/>
            </c:ext>
          </c:extLst>
        </c:ser>
        <c:dLbls>
          <c:showLegendKey val="0"/>
          <c:showVal val="0"/>
          <c:showCatName val="0"/>
          <c:showSerName val="0"/>
          <c:showPercent val="0"/>
          <c:showBubbleSize val="0"/>
        </c:dLbls>
        <c:gapWidth val="182"/>
        <c:axId val="945834127"/>
        <c:axId val="945841807"/>
      </c:barChart>
      <c:catAx>
        <c:axId val="9458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41807"/>
        <c:crosses val="autoZero"/>
        <c:auto val="1"/>
        <c:lblAlgn val="ctr"/>
        <c:lblOffset val="100"/>
        <c:noMultiLvlLbl val="0"/>
      </c:catAx>
      <c:valAx>
        <c:axId val="945841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3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[Excel_jumia_dataset_Clean.xlsx]Top 10 Products by Discount!PivotTable6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10 Products by Discount</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Discount'!$B$3</c:f>
              <c:strCache>
                <c:ptCount val="1"/>
                <c:pt idx="0">
                  <c:v>Total</c:v>
                </c:pt>
              </c:strCache>
            </c:strRef>
          </c:tx>
          <c:spPr>
            <a:solidFill>
              <a:schemeClr val="accent1"/>
            </a:solidFill>
            <a:ln>
              <a:noFill/>
            </a:ln>
            <a:effectLst/>
          </c:spPr>
          <c:invertIfNegative val="0"/>
          <c:cat>
            <c:strRef>
              <c:f>'Top 10 Products by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10 Products by Discount'!$B$4:$B$14</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6C1D-44E9-9698-C220EA582F80}"/>
            </c:ext>
          </c:extLst>
        </c:ser>
        <c:dLbls>
          <c:showLegendKey val="0"/>
          <c:showVal val="0"/>
          <c:showCatName val="0"/>
          <c:showSerName val="0"/>
          <c:showPercent val="0"/>
          <c:showBubbleSize val="0"/>
        </c:dLbls>
        <c:gapWidth val="219"/>
        <c:overlap val="-27"/>
        <c:axId val="945824527"/>
        <c:axId val="945827887"/>
      </c:barChart>
      <c:catAx>
        <c:axId val="94582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27887"/>
        <c:crosses val="autoZero"/>
        <c:auto val="1"/>
        <c:lblAlgn val="ctr"/>
        <c:lblOffset val="100"/>
        <c:noMultiLvlLbl val="0"/>
      </c:catAx>
      <c:valAx>
        <c:axId val="9458278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2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[Excel_jumia_dataset_Clean.xlsx]Discount vs Reviews!PivotTable7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Trend</a:t>
            </a:r>
            <a:r>
              <a:rPr lang="en-US" b="1" baseline="0">
                <a:solidFill>
                  <a:srgbClr val="FF0000"/>
                </a:solidFill>
              </a:rPr>
              <a:t> Analysis of Discount by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vs Reviews'!$B$3</c:f>
              <c:strCache>
                <c:ptCount val="1"/>
                <c:pt idx="0">
                  <c:v>Total</c:v>
                </c:pt>
              </c:strCache>
            </c:strRef>
          </c:tx>
          <c:spPr>
            <a:ln w="28575" cap="rnd">
              <a:solidFill>
                <a:schemeClr val="accent1"/>
              </a:solidFill>
              <a:round/>
            </a:ln>
            <a:effectLst/>
          </c:spPr>
          <c:marker>
            <c:symbol val="none"/>
          </c:marker>
          <c:cat>
            <c:strRef>
              <c:f>'Discount vs Reviews'!$A$4:$A$26</c:f>
              <c:strCache>
                <c:ptCount val="22"/>
                <c:pt idx="0">
                  <c:v>1</c:v>
                </c:pt>
                <c:pt idx="1">
                  <c:v>2</c:v>
                </c:pt>
                <c:pt idx="2">
                  <c:v>3</c:v>
                </c:pt>
                <c:pt idx="3">
                  <c:v>5</c:v>
                </c:pt>
                <c:pt idx="4">
                  <c:v>6</c:v>
                </c:pt>
                <c:pt idx="5">
                  <c:v>7</c:v>
                </c:pt>
                <c:pt idx="6">
                  <c:v>9</c:v>
                </c:pt>
                <c:pt idx="7">
                  <c:v>12</c:v>
                </c:pt>
                <c:pt idx="8">
                  <c:v>13</c:v>
                </c:pt>
                <c:pt idx="9">
                  <c:v>14</c:v>
                </c:pt>
                <c:pt idx="10">
                  <c:v>15</c:v>
                </c:pt>
                <c:pt idx="11">
                  <c:v>16</c:v>
                </c:pt>
                <c:pt idx="12">
                  <c:v>17</c:v>
                </c:pt>
                <c:pt idx="13">
                  <c:v>24</c:v>
                </c:pt>
                <c:pt idx="14">
                  <c:v>32</c:v>
                </c:pt>
                <c:pt idx="15">
                  <c:v>36</c:v>
                </c:pt>
                <c:pt idx="16">
                  <c:v>39</c:v>
                </c:pt>
                <c:pt idx="17">
                  <c:v>44</c:v>
                </c:pt>
                <c:pt idx="18">
                  <c:v>49</c:v>
                </c:pt>
                <c:pt idx="19">
                  <c:v>55</c:v>
                </c:pt>
                <c:pt idx="20">
                  <c:v>69</c:v>
                </c:pt>
                <c:pt idx="21">
                  <c:v>(blank)</c:v>
                </c:pt>
              </c:strCache>
            </c:strRef>
          </c:cat>
          <c:val>
            <c:numRef>
              <c:f>'Discount vs Reviews'!$B$4:$B$26</c:f>
              <c:numCache>
                <c:formatCode>0%</c:formatCode>
                <c:ptCount val="22"/>
                <c:pt idx="0">
                  <c:v>0.44142857142857139</c:v>
                </c:pt>
                <c:pt idx="1">
                  <c:v>0.4</c:v>
                </c:pt>
                <c:pt idx="2">
                  <c:v>0.49</c:v>
                </c:pt>
                <c:pt idx="3">
                  <c:v>0.36571428571428571</c:v>
                </c:pt>
                <c:pt idx="4">
                  <c:v>0.375</c:v>
                </c:pt>
                <c:pt idx="5">
                  <c:v>0.47000000000000003</c:v>
                </c:pt>
                <c:pt idx="6">
                  <c:v>0.44333333333333336</c:v>
                </c:pt>
                <c:pt idx="7">
                  <c:v>0.29749999999999999</c:v>
                </c:pt>
                <c:pt idx="8">
                  <c:v>0.46666666666666673</c:v>
                </c:pt>
                <c:pt idx="9">
                  <c:v>0.35</c:v>
                </c:pt>
                <c:pt idx="10">
                  <c:v>0.30499999999999999</c:v>
                </c:pt>
                <c:pt idx="11">
                  <c:v>0.22</c:v>
                </c:pt>
                <c:pt idx="12">
                  <c:v>0.45</c:v>
                </c:pt>
                <c:pt idx="13">
                  <c:v>0.25</c:v>
                </c:pt>
                <c:pt idx="14">
                  <c:v>0.27</c:v>
                </c:pt>
                <c:pt idx="15">
                  <c:v>0.41</c:v>
                </c:pt>
                <c:pt idx="16">
                  <c:v>0.34</c:v>
                </c:pt>
                <c:pt idx="17">
                  <c:v>0.49</c:v>
                </c:pt>
                <c:pt idx="18">
                  <c:v>0.35</c:v>
                </c:pt>
                <c:pt idx="19">
                  <c:v>0.24</c:v>
                </c:pt>
                <c:pt idx="20">
                  <c:v>0.49</c:v>
                </c:pt>
                <c:pt idx="21">
                  <c:v>0.34509090909090911</c:v>
                </c:pt>
              </c:numCache>
            </c:numRef>
          </c:val>
          <c:smooth val="0"/>
          <c:extLst>
            <c:ext xmlns:c16="http://schemas.microsoft.com/office/drawing/2014/chart" uri="{C3380CC4-5D6E-409C-BE32-E72D297353CC}">
              <c16:uniqueId val="{00000003-E424-4E9F-893B-EA98B93E04A2}"/>
            </c:ext>
          </c:extLst>
        </c:ser>
        <c:dLbls>
          <c:showLegendKey val="0"/>
          <c:showVal val="0"/>
          <c:showCatName val="0"/>
          <c:showSerName val="0"/>
          <c:showPercent val="0"/>
          <c:showBubbleSize val="0"/>
        </c:dLbls>
        <c:smooth val="0"/>
        <c:axId val="1157801231"/>
        <c:axId val="1157787791"/>
      </c:lineChart>
      <c:catAx>
        <c:axId val="115780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87791"/>
        <c:crosses val="autoZero"/>
        <c:auto val="1"/>
        <c:lblAlgn val="ctr"/>
        <c:lblOffset val="100"/>
        <c:noMultiLvlLbl val="0"/>
      </c:catAx>
      <c:valAx>
        <c:axId val="11577877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0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[Excel_jumia_dataset_Clean.xlsx]Ratings vs Reviews!PivotTable8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Products</a:t>
            </a:r>
            <a:r>
              <a:rPr lang="en-US" b="1" baseline="0">
                <a:solidFill>
                  <a:srgbClr val="FF0000"/>
                </a:solidFill>
              </a:rPr>
              <a:t> Ratings vs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'Ratings vs Reviews'!$B$3</c:f>
              <c:strCache>
                <c:ptCount val="1"/>
                <c:pt idx="0">
                  <c:v>Total</c:v>
                </c:pt>
              </c:strCache>
            </c:strRef>
          </c:tx>
          <c:spPr>
            <a:ln w="28575" cap="rnd">
              <a:solidFill>
                <a:schemeClr val="accent1"/>
              </a:solidFill>
              <a:round/>
            </a:ln>
            <a:effectLst/>
          </c:spPr>
          <c:marker>
            <c:symbol val="none"/>
          </c:marker>
          <c:cat>
            <c:strRef>
              <c:f>'Ratings vs Reviews'!$A$4:$A$26</c:f>
              <c:strCache>
                <c:ptCount val="22"/>
                <c:pt idx="0">
                  <c:v>1</c:v>
                </c:pt>
                <c:pt idx="1">
                  <c:v>2</c:v>
                </c:pt>
                <c:pt idx="2">
                  <c:v>3</c:v>
                </c:pt>
                <c:pt idx="3">
                  <c:v>5</c:v>
                </c:pt>
                <c:pt idx="4">
                  <c:v>6</c:v>
                </c:pt>
                <c:pt idx="5">
                  <c:v>7</c:v>
                </c:pt>
                <c:pt idx="6">
                  <c:v>9</c:v>
                </c:pt>
                <c:pt idx="7">
                  <c:v>12</c:v>
                </c:pt>
                <c:pt idx="8">
                  <c:v>13</c:v>
                </c:pt>
                <c:pt idx="9">
                  <c:v>14</c:v>
                </c:pt>
                <c:pt idx="10">
                  <c:v>15</c:v>
                </c:pt>
                <c:pt idx="11">
                  <c:v>16</c:v>
                </c:pt>
                <c:pt idx="12">
                  <c:v>17</c:v>
                </c:pt>
                <c:pt idx="13">
                  <c:v>24</c:v>
                </c:pt>
                <c:pt idx="14">
                  <c:v>32</c:v>
                </c:pt>
                <c:pt idx="15">
                  <c:v>36</c:v>
                </c:pt>
                <c:pt idx="16">
                  <c:v>39</c:v>
                </c:pt>
                <c:pt idx="17">
                  <c:v>44</c:v>
                </c:pt>
                <c:pt idx="18">
                  <c:v>49</c:v>
                </c:pt>
                <c:pt idx="19">
                  <c:v>55</c:v>
                </c:pt>
                <c:pt idx="20">
                  <c:v>69</c:v>
                </c:pt>
                <c:pt idx="21">
                  <c:v>(blank)</c:v>
                </c:pt>
              </c:strCache>
            </c:strRef>
          </c:cat>
          <c:val>
            <c:numRef>
              <c:f>'Ratings vs Reviews'!$B$4:$B$26</c:f>
              <c:numCache>
                <c:formatCode>0.00</c:formatCode>
                <c:ptCount val="22"/>
                <c:pt idx="0">
                  <c:v>3.8571428571428572</c:v>
                </c:pt>
                <c:pt idx="1">
                  <c:v>4.5999999999999996</c:v>
                </c:pt>
                <c:pt idx="2">
                  <c:v>5</c:v>
                </c:pt>
                <c:pt idx="3">
                  <c:v>3.8571428571428572</c:v>
                </c:pt>
                <c:pt idx="4">
                  <c:v>2.9499999999999997</c:v>
                </c:pt>
                <c:pt idx="5">
                  <c:v>3.35</c:v>
                </c:pt>
                <c:pt idx="6">
                  <c:v>4.2666666666666666</c:v>
                </c:pt>
                <c:pt idx="7">
                  <c:v>4.3499999999999996</c:v>
                </c:pt>
                <c:pt idx="8">
                  <c:v>3.0666666666666664</c:v>
                </c:pt>
                <c:pt idx="9">
                  <c:v>4.25</c:v>
                </c:pt>
                <c:pt idx="10">
                  <c:v>3.35</c:v>
                </c:pt>
                <c:pt idx="11">
                  <c:v>2.9</c:v>
                </c:pt>
                <c:pt idx="12">
                  <c:v>2.6</c:v>
                </c:pt>
                <c:pt idx="13">
                  <c:v>4.5999999999999996</c:v>
                </c:pt>
                <c:pt idx="14">
                  <c:v>4.5</c:v>
                </c:pt>
                <c:pt idx="15">
                  <c:v>4.3</c:v>
                </c:pt>
                <c:pt idx="16">
                  <c:v>4.7</c:v>
                </c:pt>
                <c:pt idx="17">
                  <c:v>4.5999999999999996</c:v>
                </c:pt>
                <c:pt idx="18">
                  <c:v>4.5999999999999996</c:v>
                </c:pt>
                <c:pt idx="19">
                  <c:v>4.5999999999999996</c:v>
                </c:pt>
                <c:pt idx="20">
                  <c:v>2.8</c:v>
                </c:pt>
                <c:pt idx="21">
                  <c:v>4</c:v>
                </c:pt>
              </c:numCache>
            </c:numRef>
          </c:val>
          <c:smooth val="0"/>
          <c:extLst>
            <c:ext xmlns:c16="http://schemas.microsoft.com/office/drawing/2014/chart" uri="{C3380CC4-5D6E-409C-BE32-E72D297353CC}">
              <c16:uniqueId val="{0000001D-E699-4FCD-9D98-A0DFA2CFAFD2}"/>
            </c:ext>
          </c:extLst>
        </c:ser>
        <c:dLbls>
          <c:showLegendKey val="0"/>
          <c:showVal val="0"/>
          <c:showCatName val="0"/>
          <c:showSerName val="0"/>
          <c:showPercent val="0"/>
          <c:showBubbleSize val="0"/>
        </c:dLbls>
        <c:smooth val="0"/>
        <c:axId val="1116091375"/>
        <c:axId val="1116091855"/>
      </c:lineChart>
      <c:catAx>
        <c:axId val="111609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91855"/>
        <c:crosses val="autoZero"/>
        <c:auto val="1"/>
        <c:lblAlgn val="ctr"/>
        <c:lblOffset val="100"/>
        <c:noMultiLvlLbl val="0"/>
      </c:catAx>
      <c:valAx>
        <c:axId val="11160918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9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[Excel_jumia_dataset_Clean.xlsx]Product vs Rating cat!PivotTable9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Product</a:t>
            </a:r>
            <a:r>
              <a:rPr lang="en-US" b="1" baseline="0">
                <a:solidFill>
                  <a:srgbClr val="FF0000"/>
                </a:solidFill>
              </a:rPr>
              <a:t> by Rating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pivotFmt>
      <c:pivotFmt>
        <c:idx val="2"/>
        <c:spPr>
          <a:solidFill>
            <a:schemeClr val="accent1">
              <a:shade val="86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
        <c:idx val="4"/>
        <c:spPr>
          <a:solidFill>
            <a:schemeClr val="accent1">
              <a:tint val="58000"/>
            </a:schemeClr>
          </a:solidFill>
          <a:ln w="19050">
            <a:solidFill>
              <a:schemeClr val="lt1"/>
            </a:solidFill>
          </a:ln>
          <a:effectLst/>
        </c:spPr>
      </c:pivotFmt>
    </c:pivotFmts>
    <c:plotArea>
      <c:layout/>
      <c:doughnutChart>
        <c:varyColors val="1"/>
        <c:ser>
          <c:idx val="0"/>
          <c:order val="0"/>
          <c:tx>
            <c:strRef>
              <c:f>'Product vs Rating cat'!$B$3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9376-4605-A0A7-A20301E05927}"/>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9376-4605-A0A7-A20301E05927}"/>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9376-4605-A0A7-A20301E05927}"/>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9376-4605-A0A7-A20301E05927}"/>
              </c:ext>
            </c:extLst>
          </c:dPt>
          <c:cat>
            <c:strRef>
              <c:f>'Product vs Rating cat'!$A$4:$A$8</c:f>
              <c:strCache>
                <c:ptCount val="4"/>
                <c:pt idx="0">
                  <c:v>Average</c:v>
                </c:pt>
                <c:pt idx="1">
                  <c:v>Excellent</c:v>
                </c:pt>
                <c:pt idx="2">
                  <c:v>Poor</c:v>
                </c:pt>
                <c:pt idx="3">
                  <c:v>Unknown</c:v>
                </c:pt>
              </c:strCache>
            </c:strRef>
          </c:cat>
          <c:val>
            <c:numRef>
              <c:f>'Product vs Rating cat'!$B$4:$B$8</c:f>
              <c:numCache>
                <c:formatCode>General</c:formatCode>
                <c:ptCount val="4"/>
                <c:pt idx="0">
                  <c:v>22</c:v>
                </c:pt>
                <c:pt idx="1">
                  <c:v>23</c:v>
                </c:pt>
                <c:pt idx="2">
                  <c:v>12</c:v>
                </c:pt>
                <c:pt idx="3">
                  <c:v>55</c:v>
                </c:pt>
              </c:numCache>
            </c:numRef>
          </c:val>
          <c:extLst>
            <c:ext xmlns:c16="http://schemas.microsoft.com/office/drawing/2014/chart" uri="{C3380CC4-5D6E-409C-BE32-E72D297353CC}">
              <c16:uniqueId val="{00000000-58EC-4551-A2D4-03367F3E88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[Excel_jumia_dataset_Clean.xlsx]Product vs Discount cat!PivotTable10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Product</a:t>
            </a:r>
            <a:r>
              <a:rPr lang="en-US" b="1" baseline="0">
                <a:solidFill>
                  <a:srgbClr val="FF0000"/>
                </a:solidFill>
              </a:rPr>
              <a:t> by Discount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hade val="65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65000"/>
            </a:schemeClr>
          </a:solidFill>
          <a:ln w="19050">
            <a:solidFill>
              <a:schemeClr val="lt1"/>
            </a:solidFill>
          </a:ln>
          <a:effectLst/>
        </c:spPr>
      </c:pivotFmt>
    </c:pivotFmts>
    <c:plotArea>
      <c:layout/>
      <c:pieChart>
        <c:varyColors val="1"/>
        <c:ser>
          <c:idx val="0"/>
          <c:order val="0"/>
          <c:tx>
            <c:strRef>
              <c:f>'Product vs Discount cat'!$B$3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682F-4CF1-AF64-D90A9243E32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82F-4CF1-AF64-D90A9243E32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682F-4CF1-AF64-D90A9243E325}"/>
              </c:ext>
            </c:extLst>
          </c:dPt>
          <c:cat>
            <c:strRef>
              <c:f>'Product vs Discount cat'!$A$4:$A$7</c:f>
              <c:strCache>
                <c:ptCount val="3"/>
                <c:pt idx="0">
                  <c:v>High Discount</c:v>
                </c:pt>
                <c:pt idx="1">
                  <c:v>Low Discount</c:v>
                </c:pt>
                <c:pt idx="2">
                  <c:v>Medium Discount</c:v>
                </c:pt>
              </c:strCache>
            </c:strRef>
          </c:cat>
          <c:val>
            <c:numRef>
              <c:f>'Product vs Discount cat'!$B$4:$B$7</c:f>
              <c:numCache>
                <c:formatCode>General</c:formatCode>
                <c:ptCount val="3"/>
                <c:pt idx="0">
                  <c:v>63</c:v>
                </c:pt>
                <c:pt idx="1">
                  <c:v>18</c:v>
                </c:pt>
                <c:pt idx="2">
                  <c:v>31</c:v>
                </c:pt>
              </c:numCache>
            </c:numRef>
          </c:val>
          <c:extLst>
            <c:ext xmlns:c16="http://schemas.microsoft.com/office/drawing/2014/chart" uri="{C3380CC4-5D6E-409C-BE32-E72D297353CC}">
              <c16:uniqueId val="{00000000-3250-48CC-8122-A3CF565B20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FF0000"/>
                </a:solidFill>
              </a:rPr>
              <a:t>Trend Analysis of Discount by Reviews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'Reviews Graph'!$B$1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'Reviews Graph'!$A$2:$A$116</c:f>
              <c:numCache>
                <c:formatCode>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'Reviews Graph'!$B$2:$B$116</c:f>
              <c:numCache>
                <c:formatCode>General</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c:v>
                </c:pt>
                <c:pt idx="30">
                  <c:v>9</c:v>
                </c:pt>
                <c:pt idx="31">
                  <c:v>12</c:v>
                </c:pt>
                <c:pt idx="32">
                  <c:v>9</c:v>
                </c:pt>
                <c:pt idx="33">
                  <c:v>2</c:v>
                </c:pt>
                <c:pt idx="34">
                  <c:v>32</c:v>
                </c:pt>
                <c:pt idx="35">
                  <c:v>1</c:v>
                </c:pt>
                <c:pt idx="36">
                  <c:v>2</c:v>
                </c:pt>
                <c:pt idx="37">
                  <c:v>36</c:v>
                </c:pt>
                <c:pt idx="38">
                  <c:v>2</c:v>
                </c:pt>
                <c:pt idx="59">
                  <c:v>6</c:v>
                </c:pt>
                <c:pt idx="60">
                  <c:v>1</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0-F178-4AE1-8229-562F64DFD7CD}"/>
            </c:ext>
          </c:extLst>
        </c:ser>
        <c:dLbls>
          <c:showLegendKey val="0"/>
          <c:showVal val="0"/>
          <c:showCatName val="0"/>
          <c:showSerName val="0"/>
          <c:showPercent val="0"/>
          <c:showBubbleSize val="0"/>
        </c:dLbls>
        <c:axId val="945838447"/>
        <c:axId val="945854287"/>
      </c:scatterChart>
      <c:valAx>
        <c:axId val="9458384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54287"/>
        <c:crosses val="autoZero"/>
        <c:crossBetween val="midCat"/>
      </c:valAx>
      <c:valAx>
        <c:axId val="94585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384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Ratings</a:t>
            </a:r>
            <a:r>
              <a:rPr lang="en-US" b="1" baseline="0">
                <a:solidFill>
                  <a:srgbClr val="FF0000"/>
                </a:solidFill>
              </a:rPr>
              <a:t> vs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997484689413826E-2"/>
          <c:y val="0.15777896694951965"/>
          <c:w val="0.90286351706036749"/>
          <c:h val="0.72088764946048411"/>
        </c:manualLayout>
      </c:layout>
      <c:scatterChart>
        <c:scatterStyle val="lineMarker"/>
        <c:varyColors val="0"/>
        <c:ser>
          <c:idx val="0"/>
          <c:order val="0"/>
          <c:tx>
            <c:strRef>
              <c:f>'Reviews Graph'!$C$1</c:f>
              <c:strCache>
                <c:ptCount val="1"/>
                <c:pt idx="0">
                  <c:v>Ratings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'Reviews Graph'!$B$2:$B$116</c:f>
              <c:numCache>
                <c:formatCode>General</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c:v>
                </c:pt>
                <c:pt idx="30">
                  <c:v>9</c:v>
                </c:pt>
                <c:pt idx="31">
                  <c:v>12</c:v>
                </c:pt>
                <c:pt idx="32">
                  <c:v>9</c:v>
                </c:pt>
                <c:pt idx="33">
                  <c:v>2</c:v>
                </c:pt>
                <c:pt idx="34">
                  <c:v>32</c:v>
                </c:pt>
                <c:pt idx="35">
                  <c:v>1</c:v>
                </c:pt>
                <c:pt idx="36">
                  <c:v>2</c:v>
                </c:pt>
                <c:pt idx="37">
                  <c:v>36</c:v>
                </c:pt>
                <c:pt idx="38">
                  <c:v>2</c:v>
                </c:pt>
                <c:pt idx="59">
                  <c:v>6</c:v>
                </c:pt>
                <c:pt idx="60">
                  <c:v>1</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xVal>
          <c:yVal>
            <c:numRef>
              <c:f>'Reviews Graph'!$C$2:$C$116</c:f>
              <c:numCache>
                <c:formatCode>General</c:formatCode>
                <c:ptCount val="115"/>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EA98-4296-BAB0-0F2BDCADF64E}"/>
            </c:ext>
          </c:extLst>
        </c:ser>
        <c:dLbls>
          <c:showLegendKey val="0"/>
          <c:showVal val="0"/>
          <c:showCatName val="0"/>
          <c:showSerName val="0"/>
          <c:showPercent val="0"/>
          <c:showBubbleSize val="0"/>
        </c:dLbls>
        <c:axId val="945841327"/>
        <c:axId val="945849487"/>
      </c:scatterChart>
      <c:valAx>
        <c:axId val="94584132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49487"/>
        <c:crosses val="autoZero"/>
        <c:crossBetween val="midCat"/>
      </c:valAx>
      <c:valAx>
        <c:axId val="94584948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41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Price</a:t>
            </a:r>
            <a:r>
              <a:rPr lang="en-US" b="1" baseline="0">
                <a:solidFill>
                  <a:srgbClr val="FF0000"/>
                </a:solidFill>
              </a:rPr>
              <a:t> by Ratings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'Reviews Graph'!$D$1</c:f>
              <c:strCache>
                <c:ptCount val="1"/>
                <c:pt idx="0">
                  <c:v>Current 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'Reviews Graph'!$C$2:$C$118</c:f>
              <c:numCache>
                <c:formatCode>General</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xVal>
          <c:yVal>
            <c:numRef>
              <c:f>'Reviews Graph'!$D$2:$D$118</c:f>
              <c:numCache>
                <c:formatCode>0</c:formatCode>
                <c:ptCount val="117"/>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1980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yVal>
          <c:smooth val="0"/>
          <c:extLst>
            <c:ext xmlns:c16="http://schemas.microsoft.com/office/drawing/2014/chart" uri="{C3380CC4-5D6E-409C-BE32-E72D297353CC}">
              <c16:uniqueId val="{00000000-027E-4C1A-A9F6-70E710F5BFF6}"/>
            </c:ext>
          </c:extLst>
        </c:ser>
        <c:dLbls>
          <c:showLegendKey val="0"/>
          <c:showVal val="0"/>
          <c:showCatName val="0"/>
          <c:showSerName val="0"/>
          <c:showPercent val="0"/>
          <c:showBubbleSize val="0"/>
        </c:dLbls>
        <c:axId val="251568832"/>
        <c:axId val="251541952"/>
      </c:scatterChart>
      <c:valAx>
        <c:axId val="251568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41952"/>
        <c:crosses val="autoZero"/>
        <c:crossBetween val="midCat"/>
      </c:valAx>
      <c:valAx>
        <c:axId val="251541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688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[Excel_jumia_dataset_Clean.xlsx]Top 10 Products by Discount!PivotTable6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10 Products by Discount</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Discount'!$B$3</c:f>
              <c:strCache>
                <c:ptCount val="1"/>
                <c:pt idx="0">
                  <c:v>Total</c:v>
                </c:pt>
              </c:strCache>
            </c:strRef>
          </c:tx>
          <c:spPr>
            <a:solidFill>
              <a:schemeClr val="accent1"/>
            </a:solidFill>
            <a:ln>
              <a:noFill/>
            </a:ln>
            <a:effectLst/>
          </c:spPr>
          <c:invertIfNegative val="0"/>
          <c:cat>
            <c:strRef>
              <c:f>'Top 10 Products by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10 Products by Discount'!$B$4:$B$14</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BDFE-4A19-8F09-E3AFA834EF29}"/>
            </c:ext>
          </c:extLst>
        </c:ser>
        <c:dLbls>
          <c:showLegendKey val="0"/>
          <c:showVal val="0"/>
          <c:showCatName val="0"/>
          <c:showSerName val="0"/>
          <c:showPercent val="0"/>
          <c:showBubbleSize val="0"/>
        </c:dLbls>
        <c:gapWidth val="219"/>
        <c:overlap val="-27"/>
        <c:axId val="945824527"/>
        <c:axId val="945827887"/>
      </c:barChart>
      <c:catAx>
        <c:axId val="94582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27887"/>
        <c:crosses val="autoZero"/>
        <c:auto val="1"/>
        <c:lblAlgn val="ctr"/>
        <c:lblOffset val="100"/>
        <c:noMultiLvlLbl val="0"/>
      </c:catAx>
      <c:valAx>
        <c:axId val="9458278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2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[Excel_jumia_dataset_Clean.xlsx]Top 10 Prodycts by Ratings!PivotTable4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10 Products by Ratings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Prodycts by Ratings'!$B$3</c:f>
              <c:strCache>
                <c:ptCount val="1"/>
                <c:pt idx="0">
                  <c:v>Total</c:v>
                </c:pt>
              </c:strCache>
            </c:strRef>
          </c:tx>
          <c:spPr>
            <a:solidFill>
              <a:schemeClr val="accent1"/>
            </a:solidFill>
            <a:ln>
              <a:noFill/>
            </a:ln>
            <a:effectLst/>
          </c:spPr>
          <c:invertIfNegative val="0"/>
          <c:cat>
            <c:strRef>
              <c:f>'Top 10 Prodycts by Ratings'!$A$4:$A$14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10 Prodycts by Ratings'!$B$4:$B$14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16FA-4663-83C0-67C8CD6CDA7F}"/>
            </c:ext>
          </c:extLst>
        </c:ser>
        <c:dLbls>
          <c:showLegendKey val="0"/>
          <c:showVal val="0"/>
          <c:showCatName val="0"/>
          <c:showSerName val="0"/>
          <c:showPercent val="0"/>
          <c:showBubbleSize val="0"/>
        </c:dLbls>
        <c:gapWidth val="219"/>
        <c:overlap val="-27"/>
        <c:axId val="945845167"/>
        <c:axId val="945859567"/>
      </c:barChart>
      <c:catAx>
        <c:axId val="9458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59567"/>
        <c:crosses val="autoZero"/>
        <c:auto val="1"/>
        <c:lblAlgn val="ctr"/>
        <c:lblOffset val="100"/>
        <c:noMultiLvlLbl val="0"/>
      </c:catAx>
      <c:valAx>
        <c:axId val="94585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4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[Excel_jumia_dataset_Clean.xlsx]Top10 Products by Reviews!PivotTable5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10 Products by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 Products by Reviews'!$B$3</c:f>
              <c:strCache>
                <c:ptCount val="1"/>
                <c:pt idx="0">
                  <c:v>Total</c:v>
                </c:pt>
              </c:strCache>
            </c:strRef>
          </c:tx>
          <c:spPr>
            <a:solidFill>
              <a:schemeClr val="accent1"/>
            </a:solidFill>
            <a:ln>
              <a:noFill/>
            </a:ln>
            <a:effectLst/>
          </c:spPr>
          <c:invertIfNegative val="0"/>
          <c:cat>
            <c:strRef>
              <c:f>'Top10 Products by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53 Pieces/Set Yarn Knitting Crochet Hooks With Bag - Pansies</c:v>
                </c:pt>
                <c:pt idx="5">
                  <c:v>Agapeon Toothbrush Holder And Toothpaste Dispenser</c:v>
                </c:pt>
                <c:pt idx="6">
                  <c:v>Electronic Digital Display Vernier Caliper</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'Top10 Products by Reviews'!$B$4:$B$14</c:f>
              <c:numCache>
                <c:formatCode>General</c:formatCode>
                <c:ptCount val="10"/>
                <c:pt idx="0">
                  <c:v>39</c:v>
                </c:pt>
                <c:pt idx="1">
                  <c:v>69</c:v>
                </c:pt>
                <c:pt idx="2">
                  <c:v>55</c:v>
                </c:pt>
                <c:pt idx="3">
                  <c:v>44</c:v>
                </c:pt>
                <c:pt idx="4">
                  <c:v>32</c:v>
                </c:pt>
                <c:pt idx="5">
                  <c:v>17</c:v>
                </c:pt>
                <c:pt idx="6">
                  <c:v>49</c:v>
                </c:pt>
                <c:pt idx="7">
                  <c:v>24</c:v>
                </c:pt>
                <c:pt idx="8">
                  <c:v>36</c:v>
                </c:pt>
                <c:pt idx="9">
                  <c:v>16</c:v>
                </c:pt>
              </c:numCache>
            </c:numRef>
          </c:val>
          <c:extLst>
            <c:ext xmlns:c16="http://schemas.microsoft.com/office/drawing/2014/chart" uri="{C3380CC4-5D6E-409C-BE32-E72D297353CC}">
              <c16:uniqueId val="{00000000-DE11-4F75-AC1F-69C34D0CBCBD}"/>
            </c:ext>
          </c:extLst>
        </c:ser>
        <c:dLbls>
          <c:showLegendKey val="0"/>
          <c:showVal val="0"/>
          <c:showCatName val="0"/>
          <c:showSerName val="0"/>
          <c:showPercent val="0"/>
          <c:showBubbleSize val="0"/>
        </c:dLbls>
        <c:gapWidth val="182"/>
        <c:axId val="945834127"/>
        <c:axId val="945841807"/>
      </c:barChart>
      <c:catAx>
        <c:axId val="9458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41807"/>
        <c:crosses val="autoZero"/>
        <c:auto val="1"/>
        <c:lblAlgn val="ctr"/>
        <c:lblOffset val="100"/>
        <c:noMultiLvlLbl val="0"/>
      </c:catAx>
      <c:valAx>
        <c:axId val="945841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3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[Excel_jumia_dataset_Clean.xlsx]Product vs Rating cat!PivotTable9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Product</a:t>
            </a:r>
            <a:r>
              <a:rPr lang="en-US" b="1" baseline="0">
                <a:solidFill>
                  <a:srgbClr val="FF0000"/>
                </a:solidFill>
              </a:rPr>
              <a:t> by Rating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hade val="58000"/>
            </a:schemeClr>
          </a:solidFill>
          <a:ln w="19050">
            <a:solidFill>
              <a:schemeClr val="lt1"/>
            </a:solidFill>
          </a:ln>
          <a:effectLst/>
        </c:spPr>
      </c:pivotFmt>
      <c:pivotFmt>
        <c:idx val="12"/>
        <c:spPr>
          <a:solidFill>
            <a:schemeClr val="accent1">
              <a:shade val="86000"/>
            </a:schemeClr>
          </a:solidFill>
          <a:ln w="19050">
            <a:solidFill>
              <a:schemeClr val="lt1"/>
            </a:solidFill>
          </a:ln>
          <a:effectLst/>
        </c:spPr>
      </c:pivotFmt>
      <c:pivotFmt>
        <c:idx val="13"/>
        <c:spPr>
          <a:solidFill>
            <a:schemeClr val="accent1">
              <a:tint val="86000"/>
            </a:schemeClr>
          </a:solidFill>
          <a:ln w="19050">
            <a:solidFill>
              <a:schemeClr val="lt1"/>
            </a:solidFill>
          </a:ln>
          <a:effectLst/>
        </c:spPr>
      </c:pivotFmt>
      <c:pivotFmt>
        <c:idx val="14"/>
        <c:spPr>
          <a:solidFill>
            <a:schemeClr val="accent1">
              <a:tint val="58000"/>
            </a:schemeClr>
          </a:solidFill>
          <a:ln w="19050">
            <a:solidFill>
              <a:schemeClr val="lt1"/>
            </a:solidFill>
          </a:ln>
          <a:effectLst/>
        </c:spPr>
      </c:pivotFmt>
    </c:pivotFmts>
    <c:plotArea>
      <c:layout/>
      <c:doughnutChart>
        <c:varyColors val="1"/>
        <c:ser>
          <c:idx val="0"/>
          <c:order val="0"/>
          <c:tx>
            <c:strRef>
              <c:f>'Product vs Rating cat'!$B$3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EE37-47F3-BBAD-604ED27D5284}"/>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EE37-47F3-BBAD-604ED27D5284}"/>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EE37-47F3-BBAD-604ED27D5284}"/>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EE37-47F3-BBAD-604ED27D5284}"/>
              </c:ext>
            </c:extLst>
          </c:dPt>
          <c:cat>
            <c:strRef>
              <c:f>'Product vs Rating cat'!$A$4:$A$8</c:f>
              <c:strCache>
                <c:ptCount val="4"/>
                <c:pt idx="0">
                  <c:v>Average</c:v>
                </c:pt>
                <c:pt idx="1">
                  <c:v>Excellent</c:v>
                </c:pt>
                <c:pt idx="2">
                  <c:v>Poor</c:v>
                </c:pt>
                <c:pt idx="3">
                  <c:v>Unknown</c:v>
                </c:pt>
              </c:strCache>
            </c:strRef>
          </c:cat>
          <c:val>
            <c:numRef>
              <c:f>'Product vs Rating cat'!$B$4:$B$8</c:f>
              <c:numCache>
                <c:formatCode>General</c:formatCode>
                <c:ptCount val="4"/>
                <c:pt idx="0">
                  <c:v>22</c:v>
                </c:pt>
                <c:pt idx="1">
                  <c:v>23</c:v>
                </c:pt>
                <c:pt idx="2">
                  <c:v>12</c:v>
                </c:pt>
                <c:pt idx="3">
                  <c:v>55</c:v>
                </c:pt>
              </c:numCache>
            </c:numRef>
          </c:val>
          <c:extLst>
            <c:ext xmlns:c16="http://schemas.microsoft.com/office/drawing/2014/chart" uri="{C3380CC4-5D6E-409C-BE32-E72D297353CC}">
              <c16:uniqueId val="{00000008-EE37-47F3-BBAD-604ED27D52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[Excel_jumia_dataset_Clean.xlsx]Product vs Discount cat!PivotTable10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Product</a:t>
            </a:r>
            <a:r>
              <a:rPr lang="en-US" b="1" baseline="0">
                <a:solidFill>
                  <a:srgbClr val="FF0000"/>
                </a:solidFill>
              </a:rPr>
              <a:t> by Discount Category</a:t>
            </a:r>
            <a:endParaRPr lang="en-US" b="1">
              <a:solidFill>
                <a:srgbClr val="FF0000"/>
              </a:solidFill>
            </a:endParaRPr>
          </a:p>
        </c:rich>
      </c:tx>
      <c:layout>
        <c:manualLayout>
          <c:xMode val="edge"/>
          <c:yMode val="edge"/>
          <c:x val="0.23589098972922504"/>
          <c:y val="3.1127450980392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5000"/>
            </a:schemeClr>
          </a:solidFill>
          <a:ln w="19050">
            <a:solidFill>
              <a:schemeClr val="lt1"/>
            </a:solidFill>
          </a:ln>
          <a:effectLst/>
        </c:spPr>
      </c:pivotFmt>
    </c:pivotFmts>
    <c:plotArea>
      <c:layout/>
      <c:pieChart>
        <c:varyColors val="1"/>
        <c:ser>
          <c:idx val="0"/>
          <c:order val="0"/>
          <c:tx>
            <c:strRef>
              <c:f>'Product vs Discount cat'!$B$3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1A8-43A8-A727-C02AAB6582A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1A8-43A8-A727-C02AAB6582A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1A8-43A8-A727-C02AAB6582A9}"/>
              </c:ext>
            </c:extLst>
          </c:dPt>
          <c:cat>
            <c:strRef>
              <c:f>'Product vs Discount cat'!$A$4:$A$7</c:f>
              <c:strCache>
                <c:ptCount val="3"/>
                <c:pt idx="0">
                  <c:v>High Discount</c:v>
                </c:pt>
                <c:pt idx="1">
                  <c:v>Low Discount</c:v>
                </c:pt>
                <c:pt idx="2">
                  <c:v>Medium Discount</c:v>
                </c:pt>
              </c:strCache>
            </c:strRef>
          </c:cat>
          <c:val>
            <c:numRef>
              <c:f>'Product vs Discount cat'!$B$4:$B$7</c:f>
              <c:numCache>
                <c:formatCode>General</c:formatCode>
                <c:ptCount val="3"/>
                <c:pt idx="0">
                  <c:v>63</c:v>
                </c:pt>
                <c:pt idx="1">
                  <c:v>18</c:v>
                </c:pt>
                <c:pt idx="2">
                  <c:v>31</c:v>
                </c:pt>
              </c:numCache>
            </c:numRef>
          </c:val>
          <c:extLst>
            <c:ext xmlns:c16="http://schemas.microsoft.com/office/drawing/2014/chart" uri="{C3380CC4-5D6E-409C-BE32-E72D297353CC}">
              <c16:uniqueId val="{00000006-E1A8-43A8-A727-C02AAB6582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FF0000"/>
                </a:solidFill>
              </a:rPr>
              <a:t>Trend Analysis of Discount by Reviews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'Reviews Graph'!$B$1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'Reviews Graph'!$A$2:$A$116</c:f>
              <c:numCache>
                <c:formatCode>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'Reviews Graph'!$B$2:$B$116</c:f>
              <c:numCache>
                <c:formatCode>General</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c:v>
                </c:pt>
                <c:pt idx="30">
                  <c:v>9</c:v>
                </c:pt>
                <c:pt idx="31">
                  <c:v>12</c:v>
                </c:pt>
                <c:pt idx="32">
                  <c:v>9</c:v>
                </c:pt>
                <c:pt idx="33">
                  <c:v>2</c:v>
                </c:pt>
                <c:pt idx="34">
                  <c:v>32</c:v>
                </c:pt>
                <c:pt idx="35">
                  <c:v>1</c:v>
                </c:pt>
                <c:pt idx="36">
                  <c:v>2</c:v>
                </c:pt>
                <c:pt idx="37">
                  <c:v>36</c:v>
                </c:pt>
                <c:pt idx="38">
                  <c:v>2</c:v>
                </c:pt>
                <c:pt idx="59">
                  <c:v>6</c:v>
                </c:pt>
                <c:pt idx="60">
                  <c:v>1</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1-2732-4C55-BC09-C1CF73C956D2}"/>
            </c:ext>
          </c:extLst>
        </c:ser>
        <c:dLbls>
          <c:showLegendKey val="0"/>
          <c:showVal val="0"/>
          <c:showCatName val="0"/>
          <c:showSerName val="0"/>
          <c:showPercent val="0"/>
          <c:showBubbleSize val="0"/>
        </c:dLbls>
        <c:axId val="945838447"/>
        <c:axId val="945854287"/>
      </c:scatterChart>
      <c:valAx>
        <c:axId val="9458384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54287"/>
        <c:crosses val="autoZero"/>
        <c:crossBetween val="midCat"/>
      </c:valAx>
      <c:valAx>
        <c:axId val="94585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384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175260</xdr:colOff>
      <xdr:row>2</xdr:row>
      <xdr:rowOff>129540</xdr:rowOff>
    </xdr:from>
    <xdr:to>
      <xdr:col>10</xdr:col>
      <xdr:colOff>0</xdr:colOff>
      <xdr:row>15</xdr:row>
      <xdr:rowOff>45720</xdr:rowOff>
    </xdr:to>
    <xdr:graphicFrame macro="">
      <xdr:nvGraphicFramePr>
        <xdr:cNvPr id="2" name="Chart 1">
          <a:extLst>
            <a:ext uri="{FF2B5EF4-FFF2-40B4-BE49-F238E27FC236}">
              <a16:creationId xmlns:a16="http://schemas.microsoft.com/office/drawing/2014/main" id="{BD8416E9-DD24-400D-5E4C-0A13F70A0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441960</xdr:colOff>
      <xdr:row>2</xdr:row>
      <xdr:rowOff>38100</xdr:rowOff>
    </xdr:from>
    <xdr:to>
      <xdr:col>10</xdr:col>
      <xdr:colOff>137160</xdr:colOff>
      <xdr:row>17</xdr:row>
      <xdr:rowOff>38100</xdr:rowOff>
    </xdr:to>
    <xdr:graphicFrame macro="">
      <xdr:nvGraphicFramePr>
        <xdr:cNvPr id="2" name="Chart 1">
          <a:extLst>
            <a:ext uri="{FF2B5EF4-FFF2-40B4-BE49-F238E27FC236}">
              <a16:creationId xmlns:a16="http://schemas.microsoft.com/office/drawing/2014/main" id="{E6B32C3E-A1CD-A73F-774F-AF986C633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274320</xdr:colOff>
      <xdr:row>1</xdr:row>
      <xdr:rowOff>30480</xdr:rowOff>
    </xdr:from>
    <xdr:to>
      <xdr:col>9</xdr:col>
      <xdr:colOff>579120</xdr:colOff>
      <xdr:row>16</xdr:row>
      <xdr:rowOff>30480</xdr:rowOff>
    </xdr:to>
    <xdr:graphicFrame macro="">
      <xdr:nvGraphicFramePr>
        <xdr:cNvPr id="2" name="Chart 1">
          <a:extLst>
            <a:ext uri="{FF2B5EF4-FFF2-40B4-BE49-F238E27FC236}">
              <a16:creationId xmlns:a16="http://schemas.microsoft.com/office/drawing/2014/main" id="{70B4FD88-D494-205A-298F-5C3CC8A1F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5</xdr:row>
      <xdr:rowOff>137160</xdr:rowOff>
    </xdr:from>
    <xdr:to>
      <xdr:col>11</xdr:col>
      <xdr:colOff>114300</xdr:colOff>
      <xdr:row>20</xdr:row>
      <xdr:rowOff>137160</xdr:rowOff>
    </xdr:to>
    <xdr:graphicFrame macro="">
      <xdr:nvGraphicFramePr>
        <xdr:cNvPr id="2" name="Chart 1">
          <a:extLst>
            <a:ext uri="{FF2B5EF4-FFF2-40B4-BE49-F238E27FC236}">
              <a16:creationId xmlns:a16="http://schemas.microsoft.com/office/drawing/2014/main" id="{7920EF77-9B35-4058-0305-779912C5E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xdr:colOff>
      <xdr:row>3</xdr:row>
      <xdr:rowOff>91440</xdr:rowOff>
    </xdr:from>
    <xdr:to>
      <xdr:col>20</xdr:col>
      <xdr:colOff>53340</xdr:colOff>
      <xdr:row>18</xdr:row>
      <xdr:rowOff>91440</xdr:rowOff>
    </xdr:to>
    <xdr:graphicFrame macro="">
      <xdr:nvGraphicFramePr>
        <xdr:cNvPr id="2" name="Chart 1">
          <a:extLst>
            <a:ext uri="{FF2B5EF4-FFF2-40B4-BE49-F238E27FC236}">
              <a16:creationId xmlns:a16="http://schemas.microsoft.com/office/drawing/2014/main" id="{AD1F3141-984F-278F-3955-62E086406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22860</xdr:colOff>
      <xdr:row>1</xdr:row>
      <xdr:rowOff>22860</xdr:rowOff>
    </xdr:from>
    <xdr:to>
      <xdr:col>11</xdr:col>
      <xdr:colOff>175260</xdr:colOff>
      <xdr:row>16</xdr:row>
      <xdr:rowOff>22860</xdr:rowOff>
    </xdr:to>
    <xdr:graphicFrame macro="">
      <xdr:nvGraphicFramePr>
        <xdr:cNvPr id="2" name="Chart 1">
          <a:extLst>
            <a:ext uri="{FF2B5EF4-FFF2-40B4-BE49-F238E27FC236}">
              <a16:creationId xmlns:a16="http://schemas.microsoft.com/office/drawing/2014/main" id="{3C5E124E-EAE4-7F07-BF6F-3B135E326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xdr:colOff>
      <xdr:row>1</xdr:row>
      <xdr:rowOff>137160</xdr:rowOff>
    </xdr:from>
    <xdr:to>
      <xdr:col>9</xdr:col>
      <xdr:colOff>320040</xdr:colOff>
      <xdr:row>16</xdr:row>
      <xdr:rowOff>137160</xdr:rowOff>
    </xdr:to>
    <xdr:graphicFrame macro="">
      <xdr:nvGraphicFramePr>
        <xdr:cNvPr id="2" name="Chart 1">
          <a:extLst>
            <a:ext uri="{FF2B5EF4-FFF2-40B4-BE49-F238E27FC236}">
              <a16:creationId xmlns:a16="http://schemas.microsoft.com/office/drawing/2014/main" id="{87B5451C-E0F7-1C3A-A168-52931665C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350520</xdr:colOff>
      <xdr:row>2</xdr:row>
      <xdr:rowOff>64770</xdr:rowOff>
    </xdr:from>
    <xdr:to>
      <xdr:col>10</xdr:col>
      <xdr:colOff>350520</xdr:colOff>
      <xdr:row>14</xdr:row>
      <xdr:rowOff>68580</xdr:rowOff>
    </xdr:to>
    <xdr:graphicFrame macro="">
      <xdr:nvGraphicFramePr>
        <xdr:cNvPr id="3" name="Chart 2">
          <a:extLst>
            <a:ext uri="{FF2B5EF4-FFF2-40B4-BE49-F238E27FC236}">
              <a16:creationId xmlns:a16="http://schemas.microsoft.com/office/drawing/2014/main" id="{84D7EFD8-AE2F-8346-1AC4-97BECE805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121920</xdr:colOff>
      <xdr:row>2</xdr:row>
      <xdr:rowOff>26670</xdr:rowOff>
    </xdr:from>
    <xdr:to>
      <xdr:col>22</xdr:col>
      <xdr:colOff>121920</xdr:colOff>
      <xdr:row>12</xdr:row>
      <xdr:rowOff>160020</xdr:rowOff>
    </xdr:to>
    <xdr:graphicFrame macro="">
      <xdr:nvGraphicFramePr>
        <xdr:cNvPr id="4" name="Chart 3">
          <a:extLst>
            <a:ext uri="{FF2B5EF4-FFF2-40B4-BE49-F238E27FC236}">
              <a16:creationId xmlns:a16="http://schemas.microsoft.com/office/drawing/2014/main" id="{A06A11AD-33FA-3E05-45E4-66621994F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434340</xdr:colOff>
      <xdr:row>2</xdr:row>
      <xdr:rowOff>7620</xdr:rowOff>
    </xdr:from>
    <xdr:to>
      <xdr:col>16</xdr:col>
      <xdr:colOff>38100</xdr:colOff>
      <xdr:row>14</xdr:row>
      <xdr:rowOff>3810</xdr:rowOff>
    </xdr:to>
    <xdr:graphicFrame macro="">
      <xdr:nvGraphicFramePr>
        <xdr:cNvPr id="2" name="Chart 1">
          <a:extLst>
            <a:ext uri="{FF2B5EF4-FFF2-40B4-BE49-F238E27FC236}">
              <a16:creationId xmlns:a16="http://schemas.microsoft.com/office/drawing/2014/main" id="{A861C393-2F3B-0245-FFD9-DC8F8F4A0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144780</xdr:colOff>
      <xdr:row>0</xdr:row>
      <xdr:rowOff>121920</xdr:rowOff>
    </xdr:from>
    <xdr:to>
      <xdr:col>20</xdr:col>
      <xdr:colOff>239486</xdr:colOff>
      <xdr:row>4</xdr:row>
      <xdr:rowOff>65314</xdr:rowOff>
    </xdr:to>
    <xdr:sp macro="" textlink="">
      <xdr:nvSpPr>
        <xdr:cNvPr id="2" name="Rectangle: Rounded Corners 1">
          <a:extLst>
            <a:ext uri="{FF2B5EF4-FFF2-40B4-BE49-F238E27FC236}">
              <a16:creationId xmlns:a16="http://schemas.microsoft.com/office/drawing/2014/main" id="{9FEF46DC-87C8-5B31-DD3C-B8EDB6DB6D19}"/>
            </a:ext>
          </a:extLst>
        </xdr:cNvPr>
        <xdr:cNvSpPr/>
      </xdr:nvSpPr>
      <xdr:spPr>
        <a:xfrm>
          <a:off x="1973580" y="121920"/>
          <a:ext cx="10457906" cy="68362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3800" b="1">
              <a:solidFill>
                <a:srgbClr val="FF0000"/>
              </a:solidFill>
            </a:rPr>
            <a:t>JUMIA PRODUCT PERFORMANCE DASHBOARD</a:t>
          </a:r>
        </a:p>
      </xdr:txBody>
    </xdr:sp>
    <xdr:clientData/>
  </xdr:twoCellAnchor>
  <xdr:twoCellAnchor>
    <xdr:from>
      <xdr:col>3</xdr:col>
      <xdr:colOff>236220</xdr:colOff>
      <xdr:row>5</xdr:row>
      <xdr:rowOff>0</xdr:rowOff>
    </xdr:from>
    <xdr:to>
      <xdr:col>6</xdr:col>
      <xdr:colOff>220980</xdr:colOff>
      <xdr:row>8</xdr:row>
      <xdr:rowOff>121920</xdr:rowOff>
    </xdr:to>
    <xdr:sp macro="" textlink="">
      <xdr:nvSpPr>
        <xdr:cNvPr id="3" name="Rectangle: Rounded Corners 2">
          <a:extLst>
            <a:ext uri="{FF2B5EF4-FFF2-40B4-BE49-F238E27FC236}">
              <a16:creationId xmlns:a16="http://schemas.microsoft.com/office/drawing/2014/main" id="{1480E8B0-BFCB-C4A6-650C-92C8D36D40C5}"/>
            </a:ext>
          </a:extLst>
        </xdr:cNvPr>
        <xdr:cNvSpPr/>
      </xdr:nvSpPr>
      <xdr:spPr>
        <a:xfrm>
          <a:off x="2065020" y="914400"/>
          <a:ext cx="1813560" cy="6705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400" b="1"/>
            <a:t>TOTAL PRODUCTS</a:t>
          </a:r>
        </a:p>
        <a:p>
          <a:pPr algn="ctr"/>
          <a:r>
            <a:rPr lang="en-US" sz="1400" b="1" i="0" u="none" strike="noStrike">
              <a:solidFill>
                <a:schemeClr val="dk1"/>
              </a:solidFill>
              <a:effectLst/>
              <a:latin typeface="+mn-lt"/>
              <a:ea typeface="+mn-ea"/>
              <a:cs typeface="+mn-cs"/>
            </a:rPr>
            <a:t>112</a:t>
          </a:r>
          <a:r>
            <a:rPr lang="en-US" sz="1400" b="1">
              <a:effectLst/>
            </a:rPr>
            <a:t> </a:t>
          </a:r>
          <a:endParaRPr lang="en-US" sz="1400" b="1"/>
        </a:p>
      </xdr:txBody>
    </xdr:sp>
    <xdr:clientData/>
  </xdr:twoCellAnchor>
  <xdr:twoCellAnchor>
    <xdr:from>
      <xdr:col>6</xdr:col>
      <xdr:colOff>350520</xdr:colOff>
      <xdr:row>5</xdr:row>
      <xdr:rowOff>0</xdr:rowOff>
    </xdr:from>
    <xdr:to>
      <xdr:col>9</xdr:col>
      <xdr:colOff>243840</xdr:colOff>
      <xdr:row>8</xdr:row>
      <xdr:rowOff>114300</xdr:rowOff>
    </xdr:to>
    <xdr:sp macro="" textlink="">
      <xdr:nvSpPr>
        <xdr:cNvPr id="4" name="Rectangle: Rounded Corners 3">
          <a:extLst>
            <a:ext uri="{FF2B5EF4-FFF2-40B4-BE49-F238E27FC236}">
              <a16:creationId xmlns:a16="http://schemas.microsoft.com/office/drawing/2014/main" id="{99432970-9950-7632-03BF-81D371CB566B}"/>
            </a:ext>
          </a:extLst>
        </xdr:cNvPr>
        <xdr:cNvSpPr/>
      </xdr:nvSpPr>
      <xdr:spPr>
        <a:xfrm>
          <a:off x="4008120" y="914400"/>
          <a:ext cx="1722120" cy="6629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400" b="1"/>
            <a:t>AVERAGE RATING</a:t>
          </a:r>
        </a:p>
        <a:p>
          <a:pPr algn="ctr"/>
          <a:r>
            <a:rPr lang="en-US" sz="1400" b="1"/>
            <a:t>3.89</a:t>
          </a:r>
        </a:p>
      </xdr:txBody>
    </xdr:sp>
    <xdr:clientData/>
  </xdr:twoCellAnchor>
  <xdr:twoCellAnchor>
    <xdr:from>
      <xdr:col>9</xdr:col>
      <xdr:colOff>365760</xdr:colOff>
      <xdr:row>4</xdr:row>
      <xdr:rowOff>175260</xdr:rowOff>
    </xdr:from>
    <xdr:to>
      <xdr:col>13</xdr:col>
      <xdr:colOff>137160</xdr:colOff>
      <xdr:row>8</xdr:row>
      <xdr:rowOff>121920</xdr:rowOff>
    </xdr:to>
    <xdr:sp macro="" textlink="">
      <xdr:nvSpPr>
        <xdr:cNvPr id="5" name="Rectangle: Rounded Corners 4">
          <a:extLst>
            <a:ext uri="{FF2B5EF4-FFF2-40B4-BE49-F238E27FC236}">
              <a16:creationId xmlns:a16="http://schemas.microsoft.com/office/drawing/2014/main" id="{398FD3E9-2777-6045-7536-851881D232EA}"/>
            </a:ext>
          </a:extLst>
        </xdr:cNvPr>
        <xdr:cNvSpPr/>
      </xdr:nvSpPr>
      <xdr:spPr>
        <a:xfrm>
          <a:off x="5852160" y="906780"/>
          <a:ext cx="2209800" cy="6781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400" b="1"/>
            <a:t>AVG</a:t>
          </a:r>
          <a:r>
            <a:rPr lang="en-US" sz="1400" b="1" baseline="0"/>
            <a:t> PERCENT DISCOUNT</a:t>
          </a:r>
        </a:p>
        <a:p>
          <a:pPr algn="ctr"/>
          <a:r>
            <a:rPr lang="en-US" sz="1400" b="1" baseline="0"/>
            <a:t>37%</a:t>
          </a:r>
          <a:endParaRPr lang="en-US" sz="1400" b="1"/>
        </a:p>
      </xdr:txBody>
    </xdr:sp>
    <xdr:clientData/>
  </xdr:twoCellAnchor>
  <xdr:twoCellAnchor>
    <xdr:from>
      <xdr:col>13</xdr:col>
      <xdr:colOff>213360</xdr:colOff>
      <xdr:row>5</xdr:row>
      <xdr:rowOff>15240</xdr:rowOff>
    </xdr:from>
    <xdr:to>
      <xdr:col>16</xdr:col>
      <xdr:colOff>45720</xdr:colOff>
      <xdr:row>8</xdr:row>
      <xdr:rowOff>114300</xdr:rowOff>
    </xdr:to>
    <xdr:sp macro="" textlink="">
      <xdr:nvSpPr>
        <xdr:cNvPr id="6" name="Rectangle: Rounded Corners 5">
          <a:extLst>
            <a:ext uri="{FF2B5EF4-FFF2-40B4-BE49-F238E27FC236}">
              <a16:creationId xmlns:a16="http://schemas.microsoft.com/office/drawing/2014/main" id="{6414B302-7049-5712-4ECE-D7A27C306FD6}"/>
            </a:ext>
          </a:extLst>
        </xdr:cNvPr>
        <xdr:cNvSpPr/>
      </xdr:nvSpPr>
      <xdr:spPr>
        <a:xfrm>
          <a:off x="8138160" y="929640"/>
          <a:ext cx="1661160" cy="6477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400" b="1"/>
            <a:t>TOTAL</a:t>
          </a:r>
          <a:r>
            <a:rPr lang="en-US" sz="1400" b="1" baseline="0"/>
            <a:t> REVIEWS</a:t>
          </a:r>
        </a:p>
        <a:p>
          <a:pPr algn="ctr"/>
          <a:r>
            <a:rPr lang="en-US" sz="1400" b="1" i="0" u="none" strike="noStrike">
              <a:solidFill>
                <a:schemeClr val="dk1"/>
              </a:solidFill>
              <a:effectLst/>
              <a:latin typeface="+mn-lt"/>
              <a:ea typeface="+mn-ea"/>
              <a:cs typeface="+mn-cs"/>
            </a:rPr>
            <a:t>678</a:t>
          </a:r>
          <a:r>
            <a:rPr lang="en-US" sz="1400" b="1">
              <a:effectLst/>
            </a:rPr>
            <a:t> </a:t>
          </a:r>
          <a:endParaRPr lang="en-US" sz="1400" b="1"/>
        </a:p>
      </xdr:txBody>
    </xdr:sp>
    <xdr:clientData/>
  </xdr:twoCellAnchor>
  <xdr:twoCellAnchor>
    <xdr:from>
      <xdr:col>3</xdr:col>
      <xdr:colOff>251458</xdr:colOff>
      <xdr:row>9</xdr:row>
      <xdr:rowOff>15239</xdr:rowOff>
    </xdr:from>
    <xdr:to>
      <xdr:col>10</xdr:col>
      <xdr:colOff>268258</xdr:colOff>
      <xdr:row>22</xdr:row>
      <xdr:rowOff>57496</xdr:rowOff>
    </xdr:to>
    <xdr:graphicFrame macro="">
      <xdr:nvGraphicFramePr>
        <xdr:cNvPr id="7" name="Chart 6">
          <a:extLst>
            <a:ext uri="{FF2B5EF4-FFF2-40B4-BE49-F238E27FC236}">
              <a16:creationId xmlns:a16="http://schemas.microsoft.com/office/drawing/2014/main" id="{053E3FD0-144F-4F87-A7EC-5E476D65C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251459</xdr:colOff>
      <xdr:row>22</xdr:row>
      <xdr:rowOff>152400</xdr:rowOff>
    </xdr:from>
    <xdr:to>
      <xdr:col>10</xdr:col>
      <xdr:colOff>268259</xdr:colOff>
      <xdr:row>36</xdr:row>
      <xdr:rowOff>9600</xdr:rowOff>
    </xdr:to>
    <xdr:graphicFrame macro="">
      <xdr:nvGraphicFramePr>
        <xdr:cNvPr id="8" name="Chart 7">
          <a:extLst>
            <a:ext uri="{FF2B5EF4-FFF2-40B4-BE49-F238E27FC236}">
              <a16:creationId xmlns:a16="http://schemas.microsoft.com/office/drawing/2014/main" id="{9AE6C108-9167-406C-BF28-0A6E64F72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402772</xdr:colOff>
      <xdr:row>9</xdr:row>
      <xdr:rowOff>10886</xdr:rowOff>
    </xdr:from>
    <xdr:to>
      <xdr:col>17</xdr:col>
      <xdr:colOff>419572</xdr:colOff>
      <xdr:row>22</xdr:row>
      <xdr:rowOff>53143</xdr:rowOff>
    </xdr:to>
    <xdr:graphicFrame macro="">
      <xdr:nvGraphicFramePr>
        <xdr:cNvPr id="9" name="Chart 8">
          <a:extLst>
            <a:ext uri="{FF2B5EF4-FFF2-40B4-BE49-F238E27FC236}">
              <a16:creationId xmlns:a16="http://schemas.microsoft.com/office/drawing/2014/main" id="{4CE5831F-418D-49C7-BC42-4C4801A47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555172</xdr:colOff>
      <xdr:row>9</xdr:row>
      <xdr:rowOff>21771</xdr:rowOff>
    </xdr:from>
    <xdr:to>
      <xdr:col>24</xdr:col>
      <xdr:colOff>571972</xdr:colOff>
      <xdr:row>22</xdr:row>
      <xdr:rowOff>64028</xdr:rowOff>
    </xdr:to>
    <xdr:graphicFrame macro="">
      <xdr:nvGraphicFramePr>
        <xdr:cNvPr id="11" name="Chart 10">
          <a:extLst>
            <a:ext uri="{FF2B5EF4-FFF2-40B4-BE49-F238E27FC236}">
              <a16:creationId xmlns:a16="http://schemas.microsoft.com/office/drawing/2014/main" id="{2A34C7A1-3B3D-46F4-A2DB-4FCA1DF62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555171</xdr:colOff>
      <xdr:row>23</xdr:row>
      <xdr:rowOff>32657</xdr:rowOff>
    </xdr:from>
    <xdr:to>
      <xdr:col>24</xdr:col>
      <xdr:colOff>571971</xdr:colOff>
      <xdr:row>36</xdr:row>
      <xdr:rowOff>74914</xdr:rowOff>
    </xdr:to>
    <xdr:graphicFrame macro="">
      <xdr:nvGraphicFramePr>
        <xdr:cNvPr id="12" name="Chart 11">
          <a:extLst>
            <a:ext uri="{FF2B5EF4-FFF2-40B4-BE49-F238E27FC236}">
              <a16:creationId xmlns:a16="http://schemas.microsoft.com/office/drawing/2014/main" id="{16B5B48A-3FA8-41D0-A75B-F0DEE7914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122305</xdr:colOff>
      <xdr:row>9</xdr:row>
      <xdr:rowOff>77480</xdr:rowOff>
    </xdr:from>
    <xdr:to>
      <xdr:col>3</xdr:col>
      <xdr:colOff>122305</xdr:colOff>
      <xdr:row>16</xdr:row>
      <xdr:rowOff>55709</xdr:rowOff>
    </xdr:to>
    <mc:AlternateContent xmlns:mc="http://schemas.openxmlformats.org/markup-compatibility/2006" xmlns:a14="http://schemas.microsoft.com/office/drawing/2010/main">
      <mc:Choice Requires="a14">
        <xdr:graphicFrame macro="">
          <xdr:nvGraphicFramePr>
            <xdr:cNvPr id="13" name="Category based on discount 1">
              <a:extLst>
                <a:ext uri="{FF2B5EF4-FFF2-40B4-BE49-F238E27FC236}">
                  <a16:creationId xmlns:a16="http://schemas.microsoft.com/office/drawing/2014/main" id="{CF024AD7-254A-4998-B0FC-E9E0AC1070F3}"/>
                </a:ext>
              </a:extLst>
            </xdr:cNvPr>
            <xdr:cNvGraphicFramePr/>
          </xdr:nvGraphicFramePr>
          <xdr:xfrm>
            <a:off x="0" y="0"/>
            <a:ext cx="0" cy="0"/>
          </xdr:xfrm>
          <a:graphic>
            <a:graphicData uri="http://schemas.microsoft.com/office/drawing/2010/slicer">
              <sle:slicer xmlns:sle="http://schemas.microsoft.com/office/drawing/2010/slicer" name="Category based on discount 1"/>
            </a:graphicData>
          </a:graphic>
        </xdr:graphicFrame>
      </mc:Choice>
      <mc:Fallback xmlns="">
        <xdr:sp macro="" textlink="">
          <xdr:nvSpPr>
            <xdr:cNvPr id="0" name=""/>
            <xdr:cNvSpPr>
              <a:spLocks noTextEdit="1"/>
            </xdr:cNvSpPr>
          </xdr:nvSpPr>
          <xdr:spPr>
            <a:xfrm>
              <a:off x="122305" y="1691127"/>
              <a:ext cx="1828800" cy="1233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140234</xdr:colOff>
      <xdr:row>16</xdr:row>
      <xdr:rowOff>160724</xdr:rowOff>
    </xdr:from>
    <xdr:to>
      <xdr:col>3</xdr:col>
      <xdr:colOff>140234</xdr:colOff>
      <xdr:row>24</xdr:row>
      <xdr:rowOff>160724</xdr:rowOff>
    </xdr:to>
    <mc:AlternateContent xmlns:mc="http://schemas.openxmlformats.org/markup-compatibility/2006" xmlns:a14="http://schemas.microsoft.com/office/drawing/2010/main">
      <mc:Choice Requires="a14">
        <xdr:graphicFrame macro="">
          <xdr:nvGraphicFramePr>
            <xdr:cNvPr id="14" name="Category based on Rating 1">
              <a:extLst>
                <a:ext uri="{FF2B5EF4-FFF2-40B4-BE49-F238E27FC236}">
                  <a16:creationId xmlns:a16="http://schemas.microsoft.com/office/drawing/2014/main" id="{E251FF66-D58C-43AA-B302-514CD8E2B916}"/>
                </a:ext>
              </a:extLst>
            </xdr:cNvPr>
            <xdr:cNvGraphicFramePr/>
          </xdr:nvGraphicFramePr>
          <xdr:xfrm>
            <a:off x="0" y="0"/>
            <a:ext cx="0" cy="0"/>
          </xdr:xfrm>
          <a:graphic>
            <a:graphicData uri="http://schemas.microsoft.com/office/drawing/2010/slicer">
              <sle:slicer xmlns:sle="http://schemas.microsoft.com/office/drawing/2010/slicer" name="Category based on Rating 1"/>
            </a:graphicData>
          </a:graphic>
        </xdr:graphicFrame>
      </mc:Choice>
      <mc:Fallback xmlns="">
        <xdr:sp macro="" textlink="">
          <xdr:nvSpPr>
            <xdr:cNvPr id="0" name=""/>
            <xdr:cNvSpPr>
              <a:spLocks noTextEdit="1"/>
            </xdr:cNvSpPr>
          </xdr:nvSpPr>
          <xdr:spPr>
            <a:xfrm>
              <a:off x="140234" y="3029430"/>
              <a:ext cx="1828800" cy="1434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403412</xdr:colOff>
      <xdr:row>22</xdr:row>
      <xdr:rowOff>125506</xdr:rowOff>
    </xdr:from>
    <xdr:to>
      <xdr:col>17</xdr:col>
      <xdr:colOff>420212</xdr:colOff>
      <xdr:row>35</xdr:row>
      <xdr:rowOff>170683</xdr:rowOff>
    </xdr:to>
    <xdr:graphicFrame macro="">
      <xdr:nvGraphicFramePr>
        <xdr:cNvPr id="15" name="Chart 14">
          <a:extLst>
            <a:ext uri="{FF2B5EF4-FFF2-40B4-BE49-F238E27FC236}">
              <a16:creationId xmlns:a16="http://schemas.microsoft.com/office/drawing/2014/main" id="{42CACF0F-89F4-40AB-BED0-A2FCFA526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15240</xdr:colOff>
      <xdr:row>0</xdr:row>
      <xdr:rowOff>38100</xdr:rowOff>
    </xdr:from>
    <xdr:to>
      <xdr:col>23</xdr:col>
      <xdr:colOff>30480</xdr:colOff>
      <xdr:row>34</xdr:row>
      <xdr:rowOff>121920</xdr:rowOff>
    </xdr:to>
    <xdr:sp macro="" textlink="">
      <xdr:nvSpPr>
        <xdr:cNvPr id="2" name="Rectangle 1">
          <a:extLst>
            <a:ext uri="{FF2B5EF4-FFF2-40B4-BE49-F238E27FC236}">
              <a16:creationId xmlns:a16="http://schemas.microsoft.com/office/drawing/2014/main" id="{4C7190E8-0F1A-4323-84D7-2EA1F43E5378}"/>
            </a:ext>
          </a:extLst>
        </xdr:cNvPr>
        <xdr:cNvSpPr/>
      </xdr:nvSpPr>
      <xdr:spPr>
        <a:xfrm>
          <a:off x="15240" y="38100"/>
          <a:ext cx="14036040" cy="63017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800" b="1" i="0" u="none" strike="noStrike">
              <a:solidFill>
                <a:srgbClr val="FF0000"/>
              </a:solidFill>
              <a:effectLst/>
              <a:latin typeface="+mn-lt"/>
              <a:ea typeface="+mn-ea"/>
              <a:cs typeface="+mn-cs"/>
            </a:rPr>
            <a:t>Jumia Dataset Analysis</a:t>
          </a:r>
          <a:r>
            <a:rPr lang="en-US" sz="2800" b="1">
              <a:solidFill>
                <a:srgbClr val="FF0000"/>
              </a:solidFill>
              <a:effectLst/>
            </a:rPr>
            <a:t> </a:t>
          </a:r>
        </a:p>
        <a:p>
          <a:pPr algn="l"/>
          <a:r>
            <a:rPr lang="en-US" sz="1400" b="1" i="0" u="none" strike="noStrike">
              <a:solidFill>
                <a:sysClr val="windowText" lastClr="000000"/>
              </a:solidFill>
              <a:effectLst/>
              <a:latin typeface="+mn-lt"/>
              <a:ea typeface="+mn-ea"/>
              <a:cs typeface="+mn-cs"/>
            </a:rPr>
            <a:t>1. Relationship Between Discount Percentage and Number of Reviews</a:t>
          </a:r>
          <a:r>
            <a:rPr lang="en-US" sz="1400" b="1">
              <a:solidFill>
                <a:sysClr val="windowText" lastClr="000000"/>
              </a:solidFill>
              <a:effectLst/>
            </a:rPr>
            <a:t> </a:t>
          </a:r>
        </a:p>
        <a:p>
          <a:pPr algn="l"/>
          <a:r>
            <a:rPr lang="en-US" sz="1100" b="0" i="0" u="none" strike="noStrike">
              <a:solidFill>
                <a:sysClr val="windowText" lastClr="000000"/>
              </a:solidFill>
              <a:effectLst/>
              <a:latin typeface="+mn-lt"/>
              <a:ea typeface="+mn-ea"/>
              <a:cs typeface="+mn-cs"/>
            </a:rPr>
            <a:t>The scatter plot of Reviews vs Discount shows a weak negative relationship between discount percentage and the number of reviews,</a:t>
          </a:r>
          <a:r>
            <a:rPr lang="en-US" sz="1100" b="0" i="0" u="none" strike="noStrike" baseline="0">
              <a:solidFill>
                <a:sysClr val="windowText" lastClr="000000"/>
              </a:solidFill>
              <a:effectLst/>
              <a:latin typeface="+mn-lt"/>
              <a:ea typeface="+mn-ea"/>
              <a:cs typeface="+mn-cs"/>
            </a:rPr>
            <a:t> i</a:t>
          </a:r>
          <a:r>
            <a:rPr lang="en-US" sz="1100" b="0" i="0" u="none" strike="noStrike">
              <a:solidFill>
                <a:sysClr val="windowText" lastClr="000000"/>
              </a:solidFill>
              <a:effectLst/>
              <a:latin typeface="+mn-lt"/>
              <a:ea typeface="+mn-ea"/>
              <a:cs typeface="+mn-cs"/>
            </a:rPr>
            <a:t>ndicating that products with higher discounts do not necessarily receive more reviews.</a:t>
          </a:r>
          <a:r>
            <a:rPr lang="en-US">
              <a:solidFill>
                <a:sysClr val="windowText" lastClr="000000"/>
              </a:solidFill>
              <a:effectLst/>
            </a:rPr>
            <a:t> </a:t>
          </a:r>
        </a:p>
        <a:p>
          <a:pPr algn="l"/>
          <a:r>
            <a:rPr lang="en-US" sz="1400" b="1" i="0" u="none" strike="noStrike">
              <a:solidFill>
                <a:sysClr val="windowText" lastClr="000000"/>
              </a:solidFill>
              <a:effectLst/>
              <a:latin typeface="+mn-lt"/>
              <a:ea typeface="+mn-ea"/>
              <a:cs typeface="+mn-cs"/>
            </a:rPr>
            <a:t>2. Relationship Between Rating and Number of Reviews</a:t>
          </a:r>
          <a:r>
            <a:rPr lang="en-US" sz="1400" b="1">
              <a:solidFill>
                <a:sysClr val="windowText" lastClr="000000"/>
              </a:solidFill>
              <a:effectLst/>
            </a:rPr>
            <a:t> </a:t>
          </a:r>
        </a:p>
        <a:p>
          <a:pPr algn="l"/>
          <a:r>
            <a:rPr lang="en-US" sz="1100" b="0" i="0" u="none" strike="noStrike">
              <a:solidFill>
                <a:sysClr val="windowText" lastClr="000000"/>
              </a:solidFill>
              <a:effectLst/>
              <a:latin typeface="+mn-lt"/>
              <a:ea typeface="+mn-ea"/>
              <a:cs typeface="+mn-cs"/>
            </a:rPr>
            <a:t>The scatter plot of Ratings vs Reviews shows little to no correlation between product ratings and the number of reviews.</a:t>
          </a:r>
          <a:r>
            <a:rPr lang="en-US">
              <a:solidFill>
                <a:sysClr val="windowText" lastClr="000000"/>
              </a:solidFill>
              <a:effectLst/>
            </a:rPr>
            <a:t> </a:t>
          </a:r>
        </a:p>
        <a:p>
          <a:pPr algn="l"/>
          <a:r>
            <a:rPr lang="en-US" sz="1400" b="1" i="0" u="none" strike="noStrike">
              <a:solidFill>
                <a:sysClr val="windowText" lastClr="000000"/>
              </a:solidFill>
              <a:effectLst/>
              <a:latin typeface="+mn-lt"/>
              <a:ea typeface="+mn-ea"/>
              <a:cs typeface="+mn-cs"/>
            </a:rPr>
            <a:t>3. Do Higher Discounts Lead to More Sales?</a:t>
          </a:r>
          <a:r>
            <a:rPr lang="en-US" sz="1400" b="1">
              <a:solidFill>
                <a:sysClr val="windowText" lastClr="000000"/>
              </a:solidFill>
              <a:effectLst/>
            </a:rPr>
            <a:t> </a:t>
          </a:r>
        </a:p>
        <a:p>
          <a:pPr algn="l"/>
          <a:r>
            <a:rPr lang="en-US" sz="1100" b="0" i="0" u="none" strike="noStrike">
              <a:solidFill>
                <a:sysClr val="windowText" lastClr="000000"/>
              </a:solidFill>
              <a:effectLst/>
              <a:latin typeface="+mn-lt"/>
              <a:ea typeface="+mn-ea"/>
              <a:cs typeface="+mn-cs"/>
            </a:rPr>
            <a:t>Higher discounts do not lead to significantly higher sales. The weak negative relationship between discounts and reviews indicates that discounting alone is not a strong driver of customer purchases. </a:t>
          </a:r>
          <a:endParaRPr lang="en-US">
            <a:solidFill>
              <a:sysClr val="windowText" lastClr="000000"/>
            </a:solidFill>
            <a:effectLst/>
          </a:endParaRPr>
        </a:p>
        <a:p>
          <a:pPr algn="l"/>
          <a:r>
            <a:rPr lang="en-US" sz="1400" b="1" i="0" u="none" strike="noStrike">
              <a:solidFill>
                <a:sysClr val="windowText" lastClr="000000"/>
              </a:solidFill>
              <a:effectLst/>
              <a:latin typeface="+mn-lt"/>
              <a:ea typeface="+mn-ea"/>
              <a:cs typeface="+mn-cs"/>
            </a:rPr>
            <a:t>4. Do Higher-Rated Products Have Higher Prices?</a:t>
          </a:r>
          <a:r>
            <a:rPr lang="en-US" sz="1400" b="1">
              <a:solidFill>
                <a:sysClr val="windowText" lastClr="000000"/>
              </a:solidFill>
              <a:effectLst/>
            </a:rPr>
            <a:t> </a:t>
          </a:r>
        </a:p>
        <a:p>
          <a:pPr algn="l"/>
          <a:r>
            <a:rPr lang="en-US" sz="1100" b="0" i="0" u="none" strike="noStrike">
              <a:solidFill>
                <a:sysClr val="windowText" lastClr="000000"/>
              </a:solidFill>
              <a:effectLst/>
              <a:latin typeface="+mn-lt"/>
              <a:ea typeface="+mn-ea"/>
              <a:cs typeface="+mn-cs"/>
            </a:rPr>
            <a:t>This indicates that there is no strong relationship between price and rating. Highly rated products are not necessarily expensive and can also be affordable.</a:t>
          </a:r>
          <a:r>
            <a:rPr lang="en-US">
              <a:solidFill>
                <a:sysClr val="windowText" lastClr="000000"/>
              </a:solidFill>
              <a:effectLst/>
            </a:rPr>
            <a:t> </a:t>
          </a:r>
        </a:p>
        <a:p>
          <a:pPr algn="l"/>
          <a:endParaRPr lang="en-US">
            <a:effectLst/>
          </a:endParaRPr>
        </a:p>
        <a:p>
          <a:pPr algn="l"/>
          <a:r>
            <a:rPr lang="en-US" sz="1600" b="1">
              <a:solidFill>
                <a:sysClr val="windowText" lastClr="000000"/>
              </a:solidFill>
              <a:effectLst/>
            </a:rPr>
            <a:t>The Most expensive product - 32PCS Portable Cordless Drill Set With Cyclic Battery Drive -26 Variable Speed</a:t>
          </a:r>
        </a:p>
        <a:p>
          <a:pPr algn="l"/>
          <a:endParaRPr lang="en-US" sz="1600" b="1">
            <a:solidFill>
              <a:sysClr val="windowText" lastClr="000000"/>
            </a:solidFill>
            <a:effectLst/>
          </a:endParaRPr>
        </a:p>
        <a:p>
          <a:pPr algn="l"/>
          <a:r>
            <a:rPr lang="en-US" sz="1600" b="1">
              <a:solidFill>
                <a:sysClr val="windowText" lastClr="000000"/>
              </a:solidFill>
              <a:effectLst/>
            </a:rPr>
            <a:t>The</a:t>
          </a:r>
          <a:r>
            <a:rPr lang="en-US" sz="1600" b="1" baseline="0">
              <a:solidFill>
                <a:sysClr val="windowText" lastClr="000000"/>
              </a:solidFill>
              <a:effectLst/>
            </a:rPr>
            <a:t> least expensive product - 3PCS Single Head Knitting Crochet Sweater Needle Set</a:t>
          </a:r>
        </a:p>
        <a:p>
          <a:pPr algn="l"/>
          <a:endParaRPr lang="en-US" sz="1600" b="1" baseline="0">
            <a:solidFill>
              <a:sysClr val="windowText" lastClr="000000"/>
            </a:solidFill>
            <a:effectLst/>
          </a:endParaRPr>
        </a:p>
        <a:p>
          <a:pPr algn="l"/>
          <a:r>
            <a:rPr lang="en-US" sz="1600" b="1" baseline="0">
              <a:solidFill>
                <a:sysClr val="windowText" lastClr="000000"/>
              </a:solidFill>
              <a:effectLst/>
            </a:rPr>
            <a:t>Top 5 products with highest ratings</a:t>
          </a:r>
        </a:p>
        <a:p>
          <a:pPr algn="l"/>
          <a:r>
            <a:rPr lang="en-US" sz="1600" b="1" baseline="0">
              <a:solidFill>
                <a:sysClr val="windowText" lastClr="000000"/>
              </a:solidFill>
              <a:effectLst/>
            </a:rPr>
            <a:t>	</a:t>
          </a:r>
          <a:r>
            <a:rPr lang="en-US" sz="1100" b="0" i="0" u="none" strike="noStrike">
              <a:solidFill>
                <a:sysClr val="windowText" lastClr="000000"/>
              </a:solidFill>
              <a:effectLst/>
              <a:latin typeface="+mn-lt"/>
              <a:ea typeface="+mn-ea"/>
              <a:cs typeface="+mn-cs"/>
            </a:rPr>
            <a:t>Anti-Skid Absorbent Insulation Coaster  For Home Office</a:t>
          </a:r>
          <a:r>
            <a:rPr lang="en-US" sz="1600">
              <a:solidFill>
                <a:sysClr val="windowText" lastClr="000000"/>
              </a:solidFill>
              <a:effectLst/>
            </a:rPr>
            <a:t> </a:t>
          </a:r>
        </a:p>
        <a:p>
          <a:pPr algn="l"/>
          <a:r>
            <a:rPr lang="en-US" sz="1600" b="0" i="0" u="none" strike="noStrike">
              <a:solidFill>
                <a:sysClr val="windowText" lastClr="000000"/>
              </a:solidFill>
              <a:effectLst/>
              <a:latin typeface="+mn-lt"/>
              <a:ea typeface="+mn-ea"/>
              <a:cs typeface="+mn-cs"/>
            </a:rPr>
            <a:t>	</a:t>
          </a:r>
          <a:r>
            <a:rPr lang="en-US" sz="1100" b="0" i="0" u="none" strike="noStrike">
              <a:solidFill>
                <a:sysClr val="windowText" lastClr="000000"/>
              </a:solidFill>
              <a:effectLst/>
              <a:latin typeface="+mn-lt"/>
              <a:ea typeface="+mn-ea"/>
              <a:cs typeface="+mn-cs"/>
            </a:rPr>
            <a:t>Bedroom Simple Floor Hanging Clothes Rack Single Pole Hat Rack - White</a:t>
          </a:r>
          <a:r>
            <a:rPr lang="en-US" sz="1600">
              <a:solidFill>
                <a:sysClr val="windowText" lastClr="000000"/>
              </a:solidFill>
              <a:effectLst/>
            </a:rPr>
            <a:t> </a:t>
          </a:r>
        </a:p>
        <a:p>
          <a:pPr algn="l"/>
          <a:r>
            <a:rPr lang="en-US" sz="1600" b="0" i="0" u="none" strike="noStrike">
              <a:solidFill>
                <a:sysClr val="windowText" lastClr="000000"/>
              </a:solidFill>
              <a:effectLst/>
              <a:latin typeface="+mn-lt"/>
              <a:ea typeface="+mn-ea"/>
              <a:cs typeface="+mn-cs"/>
            </a:rPr>
            <a:t>	</a:t>
          </a:r>
          <a:r>
            <a:rPr lang="en-US" sz="1100" b="0" i="0" u="none" strike="noStrike">
              <a:solidFill>
                <a:sysClr val="windowText" lastClr="000000"/>
              </a:solidFill>
              <a:effectLst/>
              <a:latin typeface="+mn-lt"/>
              <a:ea typeface="+mn-ea"/>
              <a:cs typeface="+mn-cs"/>
            </a:rPr>
            <a:t>Classic Black Cat Cotton Hemp Pillow Case For Home Car</a:t>
          </a:r>
          <a:r>
            <a:rPr lang="en-US" sz="1600">
              <a:solidFill>
                <a:sysClr val="windowText" lastClr="000000"/>
              </a:solidFill>
              <a:effectLst/>
            </a:rPr>
            <a:t> </a:t>
          </a:r>
        </a:p>
        <a:p>
          <a:pPr algn="l"/>
          <a:r>
            <a:rPr lang="en-US" sz="1600" b="0" i="0" u="none" strike="noStrike">
              <a:solidFill>
                <a:sysClr val="windowText" lastClr="000000"/>
              </a:solidFill>
              <a:effectLst/>
              <a:latin typeface="+mn-lt"/>
              <a:ea typeface="+mn-ea"/>
              <a:cs typeface="+mn-cs"/>
            </a:rPr>
            <a:t>	</a:t>
          </a:r>
          <a:r>
            <a:rPr lang="en-US" sz="1100" b="0" i="0" u="none" strike="noStrike">
              <a:solidFill>
                <a:sysClr val="windowText" lastClr="000000"/>
              </a:solidFill>
              <a:effectLst/>
              <a:latin typeface="+mn-lt"/>
              <a:ea typeface="+mn-ea"/>
              <a:cs typeface="+mn-cs"/>
            </a:rPr>
            <a:t>DIY File Folder, Office Drawer File Holder, Pen Holder, Desktop Storage Rack</a:t>
          </a:r>
          <a:r>
            <a:rPr lang="en-US" sz="1600">
              <a:solidFill>
                <a:sysClr val="windowText" lastClr="000000"/>
              </a:solidFill>
              <a:effectLst/>
            </a:rPr>
            <a:t> </a:t>
          </a:r>
        </a:p>
        <a:p>
          <a:pPr algn="l"/>
          <a:r>
            <a:rPr lang="en-US" sz="1600" b="0" i="0" u="none" strike="noStrike">
              <a:solidFill>
                <a:sysClr val="windowText" lastClr="000000"/>
              </a:solidFill>
              <a:effectLst/>
              <a:latin typeface="+mn-lt"/>
              <a:ea typeface="+mn-ea"/>
              <a:cs typeface="+mn-cs"/>
            </a:rPr>
            <a:t>	</a:t>
          </a:r>
          <a:r>
            <a:rPr lang="en-US" sz="1100" b="0" i="0" u="none" strike="noStrike">
              <a:solidFill>
                <a:sysClr val="windowText" lastClr="000000"/>
              </a:solidFill>
              <a:effectLst/>
              <a:latin typeface="+mn-lt"/>
              <a:ea typeface="+mn-ea"/>
              <a:cs typeface="+mn-cs"/>
            </a:rPr>
            <a:t>Konka Healty Electric Kettle, 24-hour Heat Preservation,1.5L,800W, White</a:t>
          </a:r>
          <a:r>
            <a:rPr lang="en-US" sz="1600">
              <a:solidFill>
                <a:sysClr val="windowText" lastClr="000000"/>
              </a:solidFill>
              <a:effectLst/>
            </a:rPr>
            <a:t> </a:t>
          </a:r>
        </a:p>
        <a:p>
          <a:pPr algn="l"/>
          <a:r>
            <a:rPr lang="en-US" sz="1600" b="1" i="0" u="none" strike="noStrike">
              <a:solidFill>
                <a:sysClr val="windowText" lastClr="000000"/>
              </a:solidFill>
              <a:effectLst/>
              <a:latin typeface="+mn-lt"/>
              <a:ea typeface="+mn-ea"/>
              <a:cs typeface="+mn-cs"/>
            </a:rPr>
            <a:t>Top 5 products</a:t>
          </a:r>
          <a:r>
            <a:rPr lang="en-US" sz="1600" b="1" i="0" u="none" strike="noStrike" baseline="0">
              <a:solidFill>
                <a:sysClr val="windowText" lastClr="000000"/>
              </a:solidFill>
              <a:effectLst/>
              <a:latin typeface="+mn-lt"/>
              <a:ea typeface="+mn-ea"/>
              <a:cs typeface="+mn-cs"/>
            </a:rPr>
            <a:t> with least ratings</a:t>
          </a:r>
        </a:p>
        <a:p>
          <a:pPr algn="l"/>
          <a:r>
            <a:rPr lang="en-US" sz="1600" b="0" i="0" u="none" strike="noStrike" baseline="0">
              <a:solidFill>
                <a:sysClr val="windowText" lastClr="000000"/>
              </a:solidFill>
              <a:effectLst/>
              <a:latin typeface="+mn-lt"/>
              <a:ea typeface="+mn-ea"/>
              <a:cs typeface="+mn-cs"/>
            </a:rPr>
            <a:t>	</a:t>
          </a:r>
          <a:r>
            <a:rPr lang="en-US" sz="1100" b="0" i="0" u="none" strike="noStrike">
              <a:solidFill>
                <a:schemeClr val="dk1"/>
              </a:solidFill>
              <a:effectLst/>
              <a:latin typeface="+mn-lt"/>
              <a:ea typeface="+mn-ea"/>
              <a:cs typeface="+mn-cs"/>
            </a:rPr>
            <a:t>5-PCS Stainless Steel Cooking Pot Set With Steamed Slices</a:t>
          </a:r>
          <a:r>
            <a:rPr lang="en-US" sz="1600">
              <a:effectLst/>
            </a:rPr>
            <a:t> </a:t>
          </a:r>
        </a:p>
        <a:p>
          <a:pPr algn="l"/>
          <a:r>
            <a:rPr lang="en-US" sz="1600" b="0"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7-piece Set Of Storage Bags, Travel Storage Bags, Shoe Bags</a:t>
          </a:r>
          <a:r>
            <a:rPr lang="en-US" sz="1600">
              <a:effectLst/>
            </a:rPr>
            <a:t> </a:t>
          </a:r>
        </a:p>
        <a:p>
          <a:pPr algn="l"/>
          <a:r>
            <a:rPr lang="en-US" sz="1600" b="0"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Artificial Potted Flowers Room Decorative Flowers (2 Pieces)</a:t>
          </a:r>
          <a:r>
            <a:rPr lang="en-US" sz="1600">
              <a:effectLst/>
            </a:rPr>
            <a:t> </a:t>
          </a:r>
        </a:p>
        <a:p>
          <a:pPr algn="l"/>
          <a:r>
            <a:rPr lang="en-US" sz="1600" b="0"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Electric LED UV Mosquito Killer Lamp, Outdoor/Indoor Fly Killer Trap Light -USB</a:t>
          </a:r>
          <a:r>
            <a:rPr lang="en-US" sz="1600">
              <a:effectLst/>
            </a:rPr>
            <a:t> </a:t>
          </a:r>
        </a:p>
        <a:p>
          <a:pPr algn="l"/>
          <a:r>
            <a:rPr lang="en-US" sz="1600" b="0"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Wall-mounted Sticker Punch-free Plug Fixer</a:t>
          </a:r>
          <a:r>
            <a:rPr lang="en-US" sz="1600">
              <a:effectLst/>
            </a:rPr>
            <a:t> </a:t>
          </a:r>
          <a:r>
            <a:rPr lang="en-US" sz="1600" b="0" i="0" u="none" strike="noStrike">
              <a:solidFill>
                <a:sysClr val="windowText" lastClr="000000"/>
              </a:solidFill>
              <a:effectLst/>
              <a:latin typeface="+mn-lt"/>
              <a:ea typeface="+mn-ea"/>
              <a:cs typeface="+mn-cs"/>
            </a:rPr>
            <a:t>	</a:t>
          </a:r>
          <a:endParaRPr lang="en-US" sz="1600" b="1">
            <a:solidFill>
              <a:sysClr val="windowText" lastClr="000000"/>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hiambo Sungurah" refreshedDate="46185.646700115743" createdVersion="8" refreshedVersion="8" minRefreshableVersion="3" recordCount="112" xr:uid="{73384B47-D04A-4833-B92D-4C4CE44DE3D8}">
  <cacheSource type="worksheet">
    <worksheetSource ref="A1:I113" sheet="Excel_jumia_dataset_Clean"/>
  </cacheSource>
  <cacheFields count="9">
    <cacheField name="Product" numFmtId="9">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1">
      <sharedItems containsString="0" containsBlank="1" containsNumber="1" containsInteger="1" minValue="1" maxValue="69" count="22">
        <n v="2"/>
        <n v="14"/>
        <n v="24"/>
        <n v="7"/>
        <n v="5"/>
        <n v="15"/>
        <n v="55"/>
        <n v="12"/>
        <n v="39"/>
        <n v="6"/>
        <n v="9"/>
        <n v="3"/>
        <n v="44"/>
        <n v="13"/>
        <m/>
        <n v="49"/>
        <n v="32"/>
        <n v="1"/>
        <n v="36"/>
        <n v="69"/>
        <n v="16"/>
        <n v="17"/>
      </sharedItems>
    </cacheField>
    <cacheField name="Ratings" numFmtId="1">
      <sharedItems containsSemiMixedTypes="0" containsString="0" containsNumber="1" minValue="2" maxValue="5"/>
    </cacheField>
    <cacheField name="ABS Discount" numFmtId="1">
      <sharedItems containsSemiMixedTypes="0" containsString="0" containsNumber="1" containsInteger="1" minValue="24" maxValue="2585"/>
    </cacheField>
    <cacheField name="Category based on Rating" numFmtId="9">
      <sharedItems count="4">
        <s v="Excellent"/>
        <s v="Average"/>
        <s v="Unknown"/>
        <s v="Poor"/>
      </sharedItems>
    </cacheField>
    <cacheField name="Category based on discount" numFmtId="0">
      <sharedItems count="3">
        <s v="Medium Discount"/>
        <s v="High Discount"/>
        <s v="Low Discount"/>
      </sharedItems>
    </cacheField>
  </cacheFields>
  <extLst>
    <ext xmlns:x14="http://schemas.microsoft.com/office/spreadsheetml/2009/9/main" uri="{725AE2AE-9491-48be-B2B4-4EB974FC3084}">
      <x14:pivotCacheDefinition pivotCacheId="1404699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0.38"/>
    <x v="0"/>
    <n v="4.5"/>
    <n v="575"/>
    <x v="0"/>
    <x v="0"/>
  </r>
  <r>
    <x v="1"/>
    <n v="527"/>
    <n v="999"/>
    <n v="0.47"/>
    <x v="1"/>
    <n v="4.0999999999999996"/>
    <n v="472"/>
    <x v="1"/>
    <x v="1"/>
  </r>
  <r>
    <x v="2"/>
    <n v="2199"/>
    <n v="2923"/>
    <n v="0.25"/>
    <x v="2"/>
    <n v="4.5999999999999996"/>
    <n v="724"/>
    <x v="0"/>
    <x v="0"/>
  </r>
  <r>
    <x v="3"/>
    <n v="1580"/>
    <n v="2499"/>
    <n v="0.37"/>
    <x v="3"/>
    <n v="4.7"/>
    <n v="919"/>
    <x v="0"/>
    <x v="0"/>
  </r>
  <r>
    <x v="4"/>
    <n v="1740"/>
    <n v="2356"/>
    <n v="0.26"/>
    <x v="4"/>
    <n v="4.8"/>
    <n v="616"/>
    <x v="0"/>
    <x v="0"/>
  </r>
  <r>
    <x v="5"/>
    <n v="2999"/>
    <n v="3290"/>
    <n v="0.09"/>
    <x v="5"/>
    <n v="4"/>
    <n v="291"/>
    <x v="1"/>
    <x v="2"/>
  </r>
  <r>
    <x v="6"/>
    <n v="2319"/>
    <n v="3032"/>
    <n v="0.24"/>
    <x v="6"/>
    <n v="4.5999999999999996"/>
    <n v="713"/>
    <x v="0"/>
    <x v="0"/>
  </r>
  <r>
    <x v="7"/>
    <n v="988"/>
    <n v="1580"/>
    <n v="0.37"/>
    <x v="0"/>
    <n v="4"/>
    <n v="592"/>
    <x v="1"/>
    <x v="0"/>
  </r>
  <r>
    <x v="8"/>
    <n v="1274"/>
    <n v="2800"/>
    <n v="0.55000000000000004"/>
    <x v="4"/>
    <n v="4.8"/>
    <n v="1526"/>
    <x v="0"/>
    <x v="1"/>
  </r>
  <r>
    <x v="9"/>
    <n v="1600"/>
    <n v="2929"/>
    <n v="0.45"/>
    <x v="4"/>
    <n v="3.8"/>
    <n v="1329"/>
    <x v="1"/>
    <x v="1"/>
  </r>
  <r>
    <x v="10"/>
    <n v="799"/>
    <n v="999"/>
    <n v="0.2"/>
    <x v="7"/>
    <n v="4.0999999999999996"/>
    <n v="200"/>
    <x v="1"/>
    <x v="0"/>
  </r>
  <r>
    <x v="11"/>
    <n v="990"/>
    <n v="1500"/>
    <n v="0.34"/>
    <x v="8"/>
    <n v="4.7"/>
    <n v="510"/>
    <x v="0"/>
    <x v="0"/>
  </r>
  <r>
    <x v="12"/>
    <n v="552"/>
    <n v="1035"/>
    <n v="0.47"/>
    <x v="7"/>
    <n v="4.8"/>
    <n v="483"/>
    <x v="0"/>
    <x v="1"/>
  </r>
  <r>
    <x v="13"/>
    <n v="501"/>
    <n v="860"/>
    <n v="0.42"/>
    <x v="9"/>
    <n v="4.5"/>
    <n v="359"/>
    <x v="0"/>
    <x v="1"/>
  </r>
  <r>
    <x v="14"/>
    <n v="1680"/>
    <n v="2499"/>
    <n v="0.33"/>
    <x v="10"/>
    <n v="4.2"/>
    <n v="819"/>
    <x v="1"/>
    <x v="0"/>
  </r>
  <r>
    <x v="15"/>
    <n v="332"/>
    <n v="684"/>
    <n v="0.51"/>
    <x v="0"/>
    <n v="5"/>
    <n v="352"/>
    <x v="0"/>
    <x v="1"/>
  </r>
  <r>
    <x v="16"/>
    <n v="195"/>
    <n v="360"/>
    <n v="0.46"/>
    <x v="0"/>
    <n v="5"/>
    <n v="165"/>
    <x v="0"/>
    <x v="1"/>
  </r>
  <r>
    <x v="17"/>
    <n v="2025"/>
    <n v="3971"/>
    <n v="0.49"/>
    <x v="11"/>
    <n v="5"/>
    <n v="1946"/>
    <x v="0"/>
    <x v="1"/>
  </r>
  <r>
    <x v="18"/>
    <n v="2999"/>
    <n v="3699"/>
    <n v="0.19"/>
    <x v="4"/>
    <n v="4.5999999999999996"/>
    <n v="700"/>
    <x v="0"/>
    <x v="2"/>
  </r>
  <r>
    <x v="19"/>
    <n v="998"/>
    <n v="1966"/>
    <n v="0.49"/>
    <x v="12"/>
    <n v="4.5999999999999996"/>
    <n v="968"/>
    <x v="0"/>
    <x v="1"/>
  </r>
  <r>
    <x v="20"/>
    <n v="38"/>
    <n v="80"/>
    <n v="0.53"/>
    <x v="13"/>
    <n v="3.3"/>
    <n v="42"/>
    <x v="1"/>
    <x v="1"/>
  </r>
  <r>
    <x v="21"/>
    <n v="1860"/>
    <n v="3220"/>
    <n v="0.42"/>
    <x v="14"/>
    <n v="4"/>
    <n v="1360"/>
    <x v="2"/>
    <x v="1"/>
  </r>
  <r>
    <x v="22"/>
    <n v="880"/>
    <n v="1350"/>
    <n v="0.35"/>
    <x v="9"/>
    <n v="4"/>
    <n v="470"/>
    <x v="1"/>
    <x v="0"/>
  </r>
  <r>
    <x v="23"/>
    <n v="1650"/>
    <n v="2150"/>
    <n v="0.23"/>
    <x v="1"/>
    <n v="4.4000000000000004"/>
    <n v="500"/>
    <x v="1"/>
    <x v="0"/>
  </r>
  <r>
    <x v="24"/>
    <n v="2048"/>
    <n v="4500"/>
    <n v="0.54"/>
    <x v="3"/>
    <n v="4.3"/>
    <n v="2452"/>
    <x v="1"/>
    <x v="1"/>
  </r>
  <r>
    <x v="25"/>
    <n v="420"/>
    <n v="647"/>
    <n v="0.35"/>
    <x v="15"/>
    <n v="4.5999999999999996"/>
    <n v="227"/>
    <x v="0"/>
    <x v="0"/>
  </r>
  <r>
    <x v="26"/>
    <n v="2880"/>
    <n v="3520"/>
    <n v="0.18"/>
    <x v="7"/>
    <n v="3.8"/>
    <n v="640"/>
    <x v="1"/>
    <x v="2"/>
  </r>
  <r>
    <x v="27"/>
    <n v="1350"/>
    <n v="1990"/>
    <n v="0.32"/>
    <x v="13"/>
    <n v="3.8"/>
    <n v="640"/>
    <x v="1"/>
    <x v="0"/>
  </r>
  <r>
    <x v="28"/>
    <n v="1758"/>
    <n v="2499"/>
    <n v="0.3"/>
    <x v="0"/>
    <n v="4.0999999999999996"/>
    <n v="741"/>
    <x v="1"/>
    <x v="0"/>
  </r>
  <r>
    <x v="29"/>
    <n v="2200"/>
    <n v="4080"/>
    <n v="0.46"/>
    <x v="14"/>
    <n v="4"/>
    <n v="1880"/>
    <x v="2"/>
    <x v="1"/>
  </r>
  <r>
    <x v="30"/>
    <n v="185"/>
    <n v="382"/>
    <n v="0.52"/>
    <x v="10"/>
    <n v="4.3"/>
    <n v="197"/>
    <x v="1"/>
    <x v="1"/>
  </r>
  <r>
    <x v="31"/>
    <n v="980"/>
    <n v="1490"/>
    <n v="0.34"/>
    <x v="7"/>
    <n v="4.7"/>
    <n v="510"/>
    <x v="0"/>
    <x v="0"/>
  </r>
  <r>
    <x v="32"/>
    <n v="1820"/>
    <n v="3490"/>
    <n v="0.48"/>
    <x v="10"/>
    <n v="4.3"/>
    <n v="1670"/>
    <x v="1"/>
    <x v="1"/>
  </r>
  <r>
    <x v="33"/>
    <n v="1940"/>
    <n v="2650"/>
    <n v="0.27"/>
    <x v="0"/>
    <n v="4.7"/>
    <n v="710"/>
    <x v="0"/>
    <x v="0"/>
  </r>
  <r>
    <x v="34"/>
    <n v="1980"/>
    <n v="2699"/>
    <n v="0.27"/>
    <x v="16"/>
    <n v="4.5"/>
    <n v="719"/>
    <x v="0"/>
    <x v="0"/>
  </r>
  <r>
    <x v="35"/>
    <n v="1620"/>
    <n v="2690"/>
    <n v="0.4"/>
    <x v="17"/>
    <n v="5"/>
    <n v="1070"/>
    <x v="0"/>
    <x v="1"/>
  </r>
  <r>
    <x v="36"/>
    <n v="171"/>
    <n v="360"/>
    <n v="0.53"/>
    <x v="0"/>
    <n v="5"/>
    <n v="189"/>
    <x v="0"/>
    <x v="1"/>
  </r>
  <r>
    <x v="37"/>
    <n v="389"/>
    <n v="656"/>
    <n v="0.41"/>
    <x v="18"/>
    <n v="4.3"/>
    <n v="267"/>
    <x v="1"/>
    <x v="1"/>
  </r>
  <r>
    <x v="38"/>
    <n v="1980"/>
    <n v="3200"/>
    <n v="0.38"/>
    <x v="0"/>
    <n v="4.5"/>
    <n v="1220"/>
    <x v="0"/>
    <x v="0"/>
  </r>
  <r>
    <x v="39"/>
    <n v="2750"/>
    <n v="4471"/>
    <n v="0.38"/>
    <x v="14"/>
    <n v="4"/>
    <n v="1721"/>
    <x v="2"/>
    <x v="0"/>
  </r>
  <r>
    <x v="40"/>
    <n v="475"/>
    <n v="931"/>
    <n v="0.49"/>
    <x v="14"/>
    <n v="4"/>
    <n v="456"/>
    <x v="2"/>
    <x v="1"/>
  </r>
  <r>
    <x v="41"/>
    <n v="238"/>
    <n v="476"/>
    <n v="0.5"/>
    <x v="14"/>
    <n v="4"/>
    <n v="238"/>
    <x v="2"/>
    <x v="1"/>
  </r>
  <r>
    <x v="42"/>
    <n v="610"/>
    <n v="1060"/>
    <n v="0.42"/>
    <x v="14"/>
    <n v="4"/>
    <n v="450"/>
    <x v="2"/>
    <x v="1"/>
  </r>
  <r>
    <x v="43"/>
    <n v="2132"/>
    <n v="2169"/>
    <n v="0.02"/>
    <x v="14"/>
    <n v="4"/>
    <n v="37"/>
    <x v="2"/>
    <x v="2"/>
  </r>
  <r>
    <x v="44"/>
    <n v="999"/>
    <n v="2000"/>
    <n v="0.5"/>
    <x v="14"/>
    <n v="4"/>
    <n v="1001"/>
    <x v="2"/>
    <x v="1"/>
  </r>
  <r>
    <x v="45"/>
    <n v="1190"/>
    <n v="1785"/>
    <n v="0.33"/>
    <x v="14"/>
    <n v="4"/>
    <n v="595"/>
    <x v="2"/>
    <x v="0"/>
  </r>
  <r>
    <x v="46"/>
    <n v="671"/>
    <n v="1316"/>
    <n v="0.49"/>
    <x v="14"/>
    <n v="4"/>
    <n v="645"/>
    <x v="2"/>
    <x v="1"/>
  </r>
  <r>
    <x v="47"/>
    <n v="1200"/>
    <n v="1950"/>
    <n v="0.38"/>
    <x v="14"/>
    <n v="4"/>
    <n v="750"/>
    <x v="2"/>
    <x v="0"/>
  </r>
  <r>
    <x v="48"/>
    <n v="199"/>
    <n v="504"/>
    <n v="0.61"/>
    <x v="14"/>
    <n v="4"/>
    <n v="305"/>
    <x v="2"/>
    <x v="1"/>
  </r>
  <r>
    <x v="49"/>
    <n v="299"/>
    <n v="600"/>
    <n v="0.5"/>
    <x v="14"/>
    <n v="4"/>
    <n v="301"/>
    <x v="2"/>
    <x v="1"/>
  </r>
  <r>
    <x v="50"/>
    <n v="1660"/>
    <n v="1699"/>
    <n v="0.02"/>
    <x v="14"/>
    <n v="4"/>
    <n v="39"/>
    <x v="2"/>
    <x v="2"/>
  </r>
  <r>
    <x v="51"/>
    <n v="299"/>
    <n v="384"/>
    <n v="0.22"/>
    <x v="14"/>
    <n v="4"/>
    <n v="85"/>
    <x v="2"/>
    <x v="0"/>
  </r>
  <r>
    <x v="52"/>
    <n v="1459"/>
    <n v="1499"/>
    <n v="0.03"/>
    <x v="14"/>
    <n v="4"/>
    <n v="40"/>
    <x v="2"/>
    <x v="2"/>
  </r>
  <r>
    <x v="53"/>
    <n v="799"/>
    <n v="1343"/>
    <n v="0.41"/>
    <x v="14"/>
    <n v="4"/>
    <n v="544"/>
    <x v="2"/>
    <x v="1"/>
  </r>
  <r>
    <x v="54"/>
    <n v="499"/>
    <n v="900"/>
    <n v="0.45"/>
    <x v="14"/>
    <n v="4"/>
    <n v="401"/>
    <x v="2"/>
    <x v="1"/>
  </r>
  <r>
    <x v="55"/>
    <n v="699"/>
    <n v="1343"/>
    <n v="0.48"/>
    <x v="14"/>
    <n v="4"/>
    <n v="644"/>
    <x v="2"/>
    <x v="1"/>
  </r>
  <r>
    <x v="56"/>
    <n v="799"/>
    <n v="1567"/>
    <n v="0.49"/>
    <x v="14"/>
    <n v="4"/>
    <n v="768"/>
    <x v="2"/>
    <x v="1"/>
  </r>
  <r>
    <x v="57"/>
    <n v="2799"/>
    <n v="3810"/>
    <n v="0.27"/>
    <x v="14"/>
    <n v="4"/>
    <n v="1011"/>
    <x v="2"/>
    <x v="0"/>
  </r>
  <r>
    <x v="54"/>
    <n v="399"/>
    <n v="896"/>
    <n v="0.55000000000000004"/>
    <x v="14"/>
    <n v="4"/>
    <n v="497"/>
    <x v="2"/>
    <x v="1"/>
  </r>
  <r>
    <x v="58"/>
    <n v="2170"/>
    <n v="2500"/>
    <n v="0.13"/>
    <x v="9"/>
    <n v="2.5"/>
    <n v="330"/>
    <x v="3"/>
    <x v="2"/>
  </r>
  <r>
    <x v="59"/>
    <n v="458"/>
    <n v="986"/>
    <n v="0.54"/>
    <x v="17"/>
    <n v="3"/>
    <n v="528"/>
    <x v="1"/>
    <x v="1"/>
  </r>
  <r>
    <x v="60"/>
    <n v="2115"/>
    <n v="4700"/>
    <n v="0.55000000000000004"/>
    <x v="13"/>
    <n v="2.1"/>
    <n v="2585"/>
    <x v="3"/>
    <x v="1"/>
  </r>
  <r>
    <x v="61"/>
    <n v="445"/>
    <n v="873"/>
    <n v="0.49"/>
    <x v="19"/>
    <n v="2.8"/>
    <n v="428"/>
    <x v="3"/>
    <x v="1"/>
  </r>
  <r>
    <x v="62"/>
    <n v="325"/>
    <n v="680"/>
    <n v="0.52"/>
    <x v="5"/>
    <n v="2.7"/>
    <n v="355"/>
    <x v="3"/>
    <x v="1"/>
  </r>
  <r>
    <x v="63"/>
    <n v="1220"/>
    <n v="1555"/>
    <n v="0.22"/>
    <x v="20"/>
    <n v="2.9"/>
    <n v="335"/>
    <x v="3"/>
    <x v="0"/>
  </r>
  <r>
    <x v="64"/>
    <n v="990"/>
    <n v="1814"/>
    <n v="0.45"/>
    <x v="9"/>
    <n v="2.2000000000000002"/>
    <n v="824"/>
    <x v="3"/>
    <x v="1"/>
  </r>
  <r>
    <x v="65"/>
    <n v="1000"/>
    <n v="2000"/>
    <n v="0.5"/>
    <x v="3"/>
    <n v="2.2999999999999998"/>
    <n v="1000"/>
    <x v="3"/>
    <x v="1"/>
  </r>
  <r>
    <x v="66"/>
    <n v="3750"/>
    <n v="6143"/>
    <n v="0.39"/>
    <x v="4"/>
    <n v="3"/>
    <n v="2393"/>
    <x v="1"/>
    <x v="0"/>
  </r>
  <r>
    <x v="67"/>
    <n v="382"/>
    <n v="700"/>
    <n v="0.45"/>
    <x v="21"/>
    <n v="2.6"/>
    <n v="318"/>
    <x v="3"/>
    <x v="1"/>
  </r>
  <r>
    <x v="68"/>
    <n v="2300"/>
    <n v="3240"/>
    <n v="0.28999999999999998"/>
    <x v="4"/>
    <n v="3"/>
    <n v="940"/>
    <x v="1"/>
    <x v="0"/>
  </r>
  <r>
    <x v="69"/>
    <n v="345"/>
    <n v="602"/>
    <n v="0.43"/>
    <x v="9"/>
    <n v="2.2999999999999998"/>
    <n v="257"/>
    <x v="3"/>
    <x v="1"/>
  </r>
  <r>
    <x v="70"/>
    <n v="509"/>
    <n v="899"/>
    <n v="0.43"/>
    <x v="4"/>
    <n v="3"/>
    <n v="390"/>
    <x v="1"/>
    <x v="1"/>
  </r>
  <r>
    <x v="71"/>
    <n v="968"/>
    <n v="1814"/>
    <n v="0.47"/>
    <x v="9"/>
    <n v="2.2000000000000002"/>
    <n v="846"/>
    <x v="3"/>
    <x v="1"/>
  </r>
  <r>
    <x v="72"/>
    <n v="1570"/>
    <n v="2988"/>
    <n v="0.47"/>
    <x v="3"/>
    <n v="2.1"/>
    <n v="1418"/>
    <x v="3"/>
    <x v="1"/>
  </r>
  <r>
    <x v="73"/>
    <n v="790"/>
    <n v="1485"/>
    <n v="0.47"/>
    <x v="14"/>
    <n v="4"/>
    <n v="695"/>
    <x v="2"/>
    <x v="1"/>
  </r>
  <r>
    <x v="74"/>
    <n v="690"/>
    <n v="1200"/>
    <n v="0.43"/>
    <x v="14"/>
    <n v="4"/>
    <n v="510"/>
    <x v="2"/>
    <x v="1"/>
  </r>
  <r>
    <x v="75"/>
    <n v="1732"/>
    <n v="1799"/>
    <n v="0.04"/>
    <x v="14"/>
    <n v="4"/>
    <n v="67"/>
    <x v="2"/>
    <x v="2"/>
  </r>
  <r>
    <x v="76"/>
    <n v="230"/>
    <n v="450"/>
    <n v="0.49"/>
    <x v="14"/>
    <n v="4"/>
    <n v="220"/>
    <x v="2"/>
    <x v="1"/>
  </r>
  <r>
    <x v="77"/>
    <n v="1189"/>
    <n v="2199"/>
    <n v="0.46"/>
    <x v="17"/>
    <n v="3"/>
    <n v="1010"/>
    <x v="1"/>
    <x v="1"/>
  </r>
  <r>
    <x v="78"/>
    <n v="979"/>
    <n v="1920"/>
    <n v="0.49"/>
    <x v="17"/>
    <n v="5"/>
    <n v="941"/>
    <x v="0"/>
    <x v="1"/>
  </r>
  <r>
    <x v="79"/>
    <n v="1460"/>
    <n v="2290"/>
    <n v="0.36"/>
    <x v="14"/>
    <n v="4"/>
    <n v="830"/>
    <x v="2"/>
    <x v="0"/>
  </r>
  <r>
    <x v="80"/>
    <n v="1666"/>
    <n v="1699"/>
    <n v="0.02"/>
    <x v="14"/>
    <n v="4"/>
    <n v="33"/>
    <x v="2"/>
    <x v="2"/>
  </r>
  <r>
    <x v="81"/>
    <n v="330"/>
    <n v="647"/>
    <n v="0.49"/>
    <x v="17"/>
    <n v="4"/>
    <n v="317"/>
    <x v="1"/>
    <x v="1"/>
  </r>
  <r>
    <x v="48"/>
    <n v="176"/>
    <n v="345"/>
    <n v="0.49"/>
    <x v="14"/>
    <n v="4"/>
    <n v="169"/>
    <x v="2"/>
    <x v="1"/>
  </r>
  <r>
    <x v="82"/>
    <n v="1466"/>
    <n v="1699"/>
    <n v="0.14000000000000001"/>
    <x v="14"/>
    <n v="4"/>
    <n v="233"/>
    <x v="2"/>
    <x v="2"/>
  </r>
  <r>
    <x v="83"/>
    <n v="274"/>
    <n v="537"/>
    <n v="0.49"/>
    <x v="14"/>
    <n v="4"/>
    <n v="263"/>
    <x v="2"/>
    <x v="1"/>
  </r>
  <r>
    <x v="84"/>
    <n v="799"/>
    <n v="900"/>
    <n v="0.11"/>
    <x v="14"/>
    <n v="4"/>
    <n v="101"/>
    <x v="2"/>
    <x v="2"/>
  </r>
  <r>
    <x v="56"/>
    <n v="657"/>
    <n v="1288"/>
    <n v="0.49"/>
    <x v="14"/>
    <n v="4"/>
    <n v="631"/>
    <x v="2"/>
    <x v="1"/>
  </r>
  <r>
    <x v="85"/>
    <n v="1468"/>
    <n v="1699"/>
    <n v="0.14000000000000001"/>
    <x v="14"/>
    <n v="4"/>
    <n v="231"/>
    <x v="2"/>
    <x v="2"/>
  </r>
  <r>
    <x v="86"/>
    <n v="630"/>
    <n v="1100"/>
    <n v="0.43"/>
    <x v="14"/>
    <n v="4"/>
    <n v="470"/>
    <x v="2"/>
    <x v="1"/>
  </r>
  <r>
    <x v="87"/>
    <n v="850"/>
    <n v="1700"/>
    <n v="0.5"/>
    <x v="14"/>
    <n v="4"/>
    <n v="850"/>
    <x v="2"/>
    <x v="1"/>
  </r>
  <r>
    <x v="88"/>
    <n v="1300"/>
    <n v="2500"/>
    <n v="0.48"/>
    <x v="14"/>
    <n v="4"/>
    <n v="1200"/>
    <x v="2"/>
    <x v="1"/>
  </r>
  <r>
    <x v="89"/>
    <n v="105"/>
    <n v="200"/>
    <n v="0.48"/>
    <x v="14"/>
    <n v="4"/>
    <n v="95"/>
    <x v="2"/>
    <x v="1"/>
  </r>
  <r>
    <x v="90"/>
    <n v="899"/>
    <n v="1699"/>
    <n v="0.47"/>
    <x v="14"/>
    <n v="4"/>
    <n v="800"/>
    <x v="2"/>
    <x v="1"/>
  </r>
  <r>
    <x v="91"/>
    <n v="1200"/>
    <n v="2400"/>
    <n v="0.5"/>
    <x v="14"/>
    <n v="4"/>
    <n v="1200"/>
    <x v="2"/>
    <x v="1"/>
  </r>
  <r>
    <x v="92"/>
    <n v="1526"/>
    <n v="1660"/>
    <n v="0.08"/>
    <x v="14"/>
    <n v="4"/>
    <n v="134"/>
    <x v="2"/>
    <x v="2"/>
  </r>
  <r>
    <x v="93"/>
    <n v="1462"/>
    <n v="1499"/>
    <n v="0.02"/>
    <x v="14"/>
    <n v="4"/>
    <n v="37"/>
    <x v="2"/>
    <x v="2"/>
  </r>
  <r>
    <x v="94"/>
    <n v="248"/>
    <n v="486"/>
    <n v="0.49"/>
    <x v="14"/>
    <n v="4"/>
    <n v="238"/>
    <x v="2"/>
    <x v="1"/>
  </r>
  <r>
    <x v="95"/>
    <n v="3546"/>
    <n v="3699"/>
    <n v="0.04"/>
    <x v="14"/>
    <n v="4"/>
    <n v="153"/>
    <x v="2"/>
    <x v="2"/>
  </r>
  <r>
    <x v="96"/>
    <n v="525"/>
    <n v="1029"/>
    <n v="0.49"/>
    <x v="14"/>
    <n v="4"/>
    <n v="504"/>
    <x v="2"/>
    <x v="1"/>
  </r>
  <r>
    <x v="97"/>
    <n v="1080"/>
    <n v="1874"/>
    <n v="0.42"/>
    <x v="14"/>
    <n v="4"/>
    <n v="794"/>
    <x v="2"/>
    <x v="1"/>
  </r>
  <r>
    <x v="98"/>
    <n v="3640"/>
    <n v="4588"/>
    <n v="0.21"/>
    <x v="17"/>
    <n v="5"/>
    <n v="948"/>
    <x v="0"/>
    <x v="0"/>
  </r>
  <r>
    <x v="99"/>
    <n v="1420"/>
    <n v="2420"/>
    <n v="0.41"/>
    <x v="14"/>
    <n v="4"/>
    <n v="1000"/>
    <x v="2"/>
    <x v="1"/>
  </r>
  <r>
    <x v="100"/>
    <n v="1875"/>
    <n v="1899"/>
    <n v="0.01"/>
    <x v="14"/>
    <n v="4"/>
    <n v="24"/>
    <x v="2"/>
    <x v="2"/>
  </r>
  <r>
    <x v="101"/>
    <n v="198"/>
    <n v="260"/>
    <n v="0.24"/>
    <x v="14"/>
    <n v="4"/>
    <n v="62"/>
    <x v="2"/>
    <x v="0"/>
  </r>
  <r>
    <x v="102"/>
    <n v="1150"/>
    <n v="1737"/>
    <n v="0.34"/>
    <x v="14"/>
    <n v="4"/>
    <n v="587"/>
    <x v="2"/>
    <x v="0"/>
  </r>
  <r>
    <x v="103"/>
    <n v="1190"/>
    <n v="1810"/>
    <n v="0.34"/>
    <x v="14"/>
    <n v="4"/>
    <n v="620"/>
    <x v="2"/>
    <x v="0"/>
  </r>
  <r>
    <x v="104"/>
    <n v="1658"/>
    <n v="1699"/>
    <n v="0.02"/>
    <x v="14"/>
    <n v="4"/>
    <n v="41"/>
    <x v="2"/>
    <x v="2"/>
  </r>
  <r>
    <x v="105"/>
    <n v="1768"/>
    <n v="1799"/>
    <n v="0.02"/>
    <x v="14"/>
    <n v="4"/>
    <n v="31"/>
    <x v="2"/>
    <x v="2"/>
  </r>
  <r>
    <x v="106"/>
    <n v="199"/>
    <n v="553"/>
    <n v="0.64"/>
    <x v="14"/>
    <n v="4"/>
    <n v="354"/>
    <x v="2"/>
    <x v="1"/>
  </r>
  <r>
    <x v="107"/>
    <n v="450"/>
    <n v="900"/>
    <n v="0.5"/>
    <x v="17"/>
    <n v="2"/>
    <n v="450"/>
    <x v="3"/>
    <x v="1"/>
  </r>
  <r>
    <x v="108"/>
    <n v="169"/>
    <n v="320"/>
    <n v="0.47"/>
    <x v="14"/>
    <n v="4"/>
    <n v="15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9A332E-C310-429D-98FA-A9DE6B3622AC}" name="PivotTable3"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dataField="1" showAll="0"/>
    <pivotField numFmtId="1" showAll="0"/>
    <pivotField numFmtId="1" showAll="0"/>
    <pivotField dataField="1" numFmtId="9" showAll="0"/>
    <pivotField dataField="1" showAll="0"/>
    <pivotField dataField="1" showAll="0"/>
    <pivotField numFmtId="1" showAll="0"/>
    <pivotField showAll="0">
      <items count="5">
        <item x="1"/>
        <item x="0"/>
        <item x="3"/>
        <item x="2"/>
        <item t="default"/>
      </items>
    </pivotField>
    <pivotField showAll="0">
      <items count="4">
        <item x="1"/>
        <item x="2"/>
        <item x="0"/>
        <item t="default"/>
      </items>
    </pivotField>
  </pivotFields>
  <rowItems count="1">
    <i/>
  </rowItems>
  <colFields count="1">
    <field x="-2"/>
  </colFields>
  <colItems count="4">
    <i>
      <x/>
    </i>
    <i i="1">
      <x v="1"/>
    </i>
    <i i="2">
      <x v="2"/>
    </i>
    <i i="3">
      <x v="3"/>
    </i>
  </colItems>
  <dataFields count="4">
    <dataField name="Count of Product" fld="0" subtotal="count" baseField="0" baseItem="0"/>
    <dataField name="Average of Discount" fld="3" subtotal="average" baseField="0" baseItem="1" numFmtId="9"/>
    <dataField name="Sum of Review" fld="4" baseField="0" baseItem="1" numFmtId="1"/>
    <dataField name="Average of Ratings" fld="5"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B340D-459F-4F81-AD57-39FF09F6DAA7}" name="PivotTable4"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showAll="0"/>
    <pivotField dataField="1" showAll="0"/>
    <pivotField numFmtId="1" showAll="0"/>
    <pivotField showAll="0">
      <items count="5">
        <item x="1"/>
        <item x="0"/>
        <item x="3"/>
        <item x="2"/>
        <item t="default"/>
      </items>
    </pivotField>
    <pivotField showAll="0">
      <items count="4">
        <item x="1"/>
        <item x="2"/>
        <item x="0"/>
        <item t="default"/>
      </items>
    </pivotField>
  </pivotFields>
  <rowFields count="1">
    <field x="0"/>
  </rowFields>
  <rowItems count="11">
    <i>
      <x v="22"/>
    </i>
    <i>
      <x v="40"/>
    </i>
    <i>
      <x v="44"/>
    </i>
    <i>
      <x v="52"/>
    </i>
    <i>
      <x v="57"/>
    </i>
    <i>
      <x v="65"/>
    </i>
    <i>
      <x v="68"/>
    </i>
    <i>
      <x v="70"/>
    </i>
    <i>
      <x v="87"/>
    </i>
    <i>
      <x v="90"/>
    </i>
    <i t="grand">
      <x/>
    </i>
  </rowItems>
  <colItems count="1">
    <i/>
  </colItems>
  <dataFields count="1">
    <dataField name="Average of Ratings" fld="5" subtotal="average" baseField="0" baseItem="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09B7D-1B20-4D57-979D-510159D49C8B}" name="PivotTable5"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dataField="1" showAll="0"/>
    <pivotField showAll="0"/>
    <pivotField numFmtId="1" showAll="0"/>
    <pivotField showAll="0">
      <items count="5">
        <item x="1"/>
        <item x="0"/>
        <item x="3"/>
        <item x="2"/>
        <item t="default"/>
      </items>
    </pivotField>
    <pivotField showAll="0">
      <items count="4">
        <item x="1"/>
        <item x="2"/>
        <item x="0"/>
        <item t="default"/>
      </items>
    </pivotField>
  </pivotFields>
  <rowFields count="1">
    <field x="0"/>
  </rowFields>
  <rowItems count="11">
    <i>
      <x v="1"/>
    </i>
    <i>
      <x v="5"/>
    </i>
    <i>
      <x v="8"/>
    </i>
    <i>
      <x v="18"/>
    </i>
    <i>
      <x v="27"/>
    </i>
    <i>
      <x v="38"/>
    </i>
    <i>
      <x v="59"/>
    </i>
    <i>
      <x v="91"/>
    </i>
    <i>
      <x v="95"/>
    </i>
    <i>
      <x v="101"/>
    </i>
    <i t="grand">
      <x/>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342390-832E-4D92-B79E-76CA0D649EB9}" name="PivotTable6"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showAll="0"/>
    <pivotField showAll="0"/>
    <pivotField showAll="0"/>
    <pivotField numFmtId="1" showAll="0"/>
    <pivotField showAll="0">
      <items count="5">
        <item x="1"/>
        <item x="0"/>
        <item x="3"/>
        <item x="2"/>
        <item t="default"/>
      </items>
    </pivotField>
    <pivotField showAll="0">
      <items count="4">
        <item x="1"/>
        <item x="2"/>
        <item x="0"/>
        <item t="default"/>
      </items>
    </pivotField>
  </pivotFields>
  <rowFields count="1">
    <field x="0"/>
  </rowFields>
  <rowItems count="11">
    <i>
      <x v="20"/>
    </i>
    <i>
      <x v="30"/>
    </i>
    <i>
      <x v="31"/>
    </i>
    <i>
      <x v="52"/>
    </i>
    <i>
      <x v="53"/>
    </i>
    <i>
      <x v="60"/>
    </i>
    <i>
      <x v="64"/>
    </i>
    <i>
      <x v="67"/>
    </i>
    <i>
      <x v="70"/>
    </i>
    <i>
      <x v="84"/>
    </i>
    <i t="grand">
      <x/>
    </i>
  </rowItems>
  <colItems count="1">
    <i/>
  </colItems>
  <dataFields count="1">
    <dataField name="Average of Discount" fld="3"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8B04DD-74E9-4832-A952-FEE3172EBD10}" name="PivotTable7"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6" firstHeaderRow="1" firstDataRow="1" firstDataCol="1"/>
  <pivotFields count="9">
    <pivotField showAll="0"/>
    <pivotField numFmtId="1" showAll="0"/>
    <pivotField numFmtId="1" showAll="0"/>
    <pivotField dataField="1" numFmtId="9" showAll="0"/>
    <pivotField axis="axisRow" showAll="0">
      <items count="23">
        <item x="17"/>
        <item x="0"/>
        <item x="11"/>
        <item x="4"/>
        <item x="9"/>
        <item x="3"/>
        <item x="10"/>
        <item x="7"/>
        <item x="13"/>
        <item x="1"/>
        <item x="5"/>
        <item x="20"/>
        <item x="21"/>
        <item x="2"/>
        <item x="16"/>
        <item x="18"/>
        <item x="8"/>
        <item x="12"/>
        <item x="15"/>
        <item x="6"/>
        <item x="19"/>
        <item x="14"/>
        <item t="default"/>
      </items>
    </pivotField>
    <pivotField showAll="0"/>
    <pivotField numFmtId="1" showAll="0"/>
    <pivotField showAll="0">
      <items count="5">
        <item x="1"/>
        <item x="0"/>
        <item x="3"/>
        <item x="2"/>
        <item t="default"/>
      </items>
    </pivotField>
    <pivotField showAll="0">
      <items count="4">
        <item x="1"/>
        <item x="2"/>
        <item x="0"/>
        <item t="default"/>
      </items>
    </pivotField>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Discount" fld="3" subtotal="average" baseField="4" baseItem="5" numFmtId="9"/>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A2D7D6-859D-470E-8B61-4886964DA982}" name="PivotTable8"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6" firstHeaderRow="1" firstDataRow="1" firstDataCol="1"/>
  <pivotFields count="9">
    <pivotField showAll="0"/>
    <pivotField numFmtId="1" showAll="0"/>
    <pivotField numFmtId="1" showAll="0"/>
    <pivotField numFmtId="9" showAll="0"/>
    <pivotField axis="axisRow" showAll="0">
      <items count="23">
        <item x="17"/>
        <item x="0"/>
        <item x="11"/>
        <item x="4"/>
        <item x="9"/>
        <item x="3"/>
        <item x="10"/>
        <item x="7"/>
        <item x="13"/>
        <item x="1"/>
        <item x="5"/>
        <item x="20"/>
        <item x="21"/>
        <item x="2"/>
        <item x="16"/>
        <item x="18"/>
        <item x="8"/>
        <item x="12"/>
        <item x="15"/>
        <item x="6"/>
        <item x="19"/>
        <item x="14"/>
        <item t="default"/>
      </items>
    </pivotField>
    <pivotField dataField="1" showAll="0"/>
    <pivotField numFmtId="1" showAll="0"/>
    <pivotField showAll="0">
      <items count="5">
        <item x="1"/>
        <item x="0"/>
        <item x="3"/>
        <item x="2"/>
        <item t="default"/>
      </items>
    </pivotField>
    <pivotField showAll="0">
      <items count="4">
        <item x="1"/>
        <item x="2"/>
        <item x="0"/>
        <item t="default"/>
      </items>
    </pivotField>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Ratings" fld="5" subtotal="average" baseField="4" baseItem="14" numFmtId="2"/>
  </dataFields>
  <chartFormats count="1">
    <chartFormat chart="0"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1EC17C-6801-45F9-96C1-04BF4BECC8E2}" name="PivotTable9"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9">
    <pivotField dataField="1" showAll="0"/>
    <pivotField numFmtId="1" showAll="0"/>
    <pivotField numFmtId="1" showAll="0"/>
    <pivotField numFmtId="9" showAll="0"/>
    <pivotField showAll="0"/>
    <pivotField showAll="0"/>
    <pivotField numFmtId="1" showAll="0"/>
    <pivotField axis="axisRow" showAll="0">
      <items count="5">
        <item x="1"/>
        <item x="0"/>
        <item x="3"/>
        <item x="2"/>
        <item t="default"/>
      </items>
    </pivotField>
    <pivotField showAll="0">
      <items count="4">
        <item x="1"/>
        <item x="2"/>
        <item x="0"/>
        <item t="default"/>
      </items>
    </pivotField>
  </pivotFields>
  <rowFields count="1">
    <field x="7"/>
  </rowFields>
  <rowItems count="5">
    <i>
      <x/>
    </i>
    <i>
      <x v="1"/>
    </i>
    <i>
      <x v="2"/>
    </i>
    <i>
      <x v="3"/>
    </i>
    <i t="grand">
      <x/>
    </i>
  </rowItems>
  <colItems count="1">
    <i/>
  </colItems>
  <dataFields count="1">
    <dataField name="Count of Product"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7" count="1" selected="0">
            <x v="0"/>
          </reference>
        </references>
      </pivotArea>
    </chartFormat>
    <chartFormat chart="4" format="12">
      <pivotArea type="data" outline="0" fieldPosition="0">
        <references count="2">
          <reference field="4294967294" count="1" selected="0">
            <x v="0"/>
          </reference>
          <reference field="7" count="1" selected="0">
            <x v="1"/>
          </reference>
        </references>
      </pivotArea>
    </chartFormat>
    <chartFormat chart="4" format="13">
      <pivotArea type="data" outline="0" fieldPosition="0">
        <references count="2">
          <reference field="4294967294" count="1" selected="0">
            <x v="0"/>
          </reference>
          <reference field="7" count="1" selected="0">
            <x v="2"/>
          </reference>
        </references>
      </pivotArea>
    </chartFormat>
    <chartFormat chart="4"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3878AF-3764-4E16-BC66-9F294790E3DF}" name="PivotTable10"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9">
    <pivotField dataField="1" showAll="0"/>
    <pivotField numFmtId="1" showAll="0"/>
    <pivotField numFmtId="1" showAll="0"/>
    <pivotField numFmtId="9" showAll="0"/>
    <pivotField showAll="0"/>
    <pivotField showAll="0"/>
    <pivotField numFmtId="1" showAll="0"/>
    <pivotField showAll="0">
      <items count="5">
        <item x="1"/>
        <item x="0"/>
        <item x="3"/>
        <item x="2"/>
        <item t="default"/>
      </items>
    </pivotField>
    <pivotField axis="axisRow" showAll="0">
      <items count="4">
        <item x="1"/>
        <item x="2"/>
        <item x="0"/>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11">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8" count="1" selected="0">
            <x v="0"/>
          </reference>
        </references>
      </pivotArea>
    </chartFormat>
    <chartFormat chart="21" format="10">
      <pivotArea type="data" outline="0" fieldPosition="0">
        <references count="2">
          <reference field="4294967294" count="1" selected="0">
            <x v="0"/>
          </reference>
          <reference field="8" count="1" selected="0">
            <x v="1"/>
          </reference>
        </references>
      </pivotArea>
    </chartFormat>
    <chartFormat chart="21" format="11">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 chart="0"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based_on_Rating" xr10:uid="{62914970-AB89-4B7F-9B7F-1DF972407A1E}" sourceName="Category based on Rating">
  <pivotTables>
    <pivotTable tabId="9" name="PivotTable10"/>
    <pivotTable tabId="6" name="PivotTable7"/>
    <pivotTable tabId="2" name="PivotTable3"/>
    <pivotTable tabId="8" name="PivotTable9"/>
    <pivotTable tabId="3" name="PivotTable4"/>
    <pivotTable tabId="7" name="PivotTable8"/>
    <pivotTable tabId="5" name="PivotTable6"/>
    <pivotTable tabId="4" name="PivotTable5"/>
  </pivotTables>
  <data>
    <tabular pivotCacheId="140469933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based_on_discount" xr10:uid="{2D8CF9CB-9D6C-4611-A938-EC977ACAE37F}" sourceName="Category based on discount">
  <pivotTables>
    <pivotTable tabId="9" name="PivotTable10"/>
    <pivotTable tabId="6" name="PivotTable7"/>
    <pivotTable tabId="2" name="PivotTable3"/>
    <pivotTable tabId="8" name="PivotTable9"/>
    <pivotTable tabId="3" name="PivotTable4"/>
    <pivotTable tabId="7" name="PivotTable8"/>
    <pivotTable tabId="5" name="PivotTable6"/>
    <pivotTable tabId="4" name="PivotTable5"/>
  </pivotTables>
  <data>
    <tabular pivotCacheId="140469933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based on Rating 1" xr10:uid="{CDD93CF8-4BAA-4987-B825-4CF2AF558F59}" cache="Slicer_Category_based_on_Rating" caption="Category based on Rating" rowHeight="234950"/>
  <slicer name="Category based on discount 1" xr10:uid="{C8E13A24-DC0A-4216-BC49-F6653F616753}" cache="Slicer_Category_based_on_discount" caption="Category based on discou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0E20FD-3CB8-4007-8027-0784E0F50AE9}" name="Table3" displayName="Table3" ref="A1:I114" totalsRowCount="1" headerRowDxfId="20" dataDxfId="19" tableBorderDxfId="18" headerRowCellStyle="Percent" dataCellStyle="Percent">
  <autoFilter ref="A1:I113" xr:uid="{DD0E20FD-3CB8-4007-8027-0784E0F50AE9}"/>
  <tableColumns count="9">
    <tableColumn id="1" xr3:uid="{6A060663-A75D-4ABE-8FD0-42AE7D1F42FB}" name="Product" dataDxfId="17" totalsRowDxfId="8" dataCellStyle="Percent" totalsRowCellStyle="Percent"/>
    <tableColumn id="2" xr3:uid="{F2E68C06-99E9-4743-9C42-2EF9214845A3}" name="Current price" dataDxfId="16" totalsRowDxfId="7" dataCellStyle="Percent" totalsRowCellStyle="Percent"/>
    <tableColumn id="3" xr3:uid="{65E96318-0AC6-4650-9028-D0A72F61B831}" name="old price" dataDxfId="15" totalsRowDxfId="6" dataCellStyle="Percent" totalsRowCellStyle="Percent"/>
    <tableColumn id="4" xr3:uid="{6B427235-6F39-43BC-90E9-E59A7246CD00}" name="Discount" dataDxfId="14" totalsRowDxfId="5" dataCellStyle="Percent" totalsRowCellStyle="Percent"/>
    <tableColumn id="5" xr3:uid="{E78CAD53-9F5C-4DA8-81C0-14F7B4986FE1}" name="Review" dataDxfId="13" totalsRowDxfId="4" dataCellStyle="Percent" totalsRowCellStyle="Percent"/>
    <tableColumn id="6" xr3:uid="{695C82EF-C66A-4176-9601-965AD09F356E}" name="Ratings" dataDxfId="12" totalsRowDxfId="3" dataCellStyle="Percent" totalsRowCellStyle="Percent"/>
    <tableColumn id="7" xr3:uid="{216E5997-F70B-4B19-A928-D79B5CF3982D}" name="ABS Discount" dataDxfId="11" totalsRowDxfId="2" dataCellStyle="Percent" totalsRowCellStyle="Percent"/>
    <tableColumn id="8" xr3:uid="{D90D1392-9491-4375-AC69-F727A27BEECA}" name="Category based on Rating" dataDxfId="10" totalsRowDxfId="1" dataCellStyle="Percent" totalsRowCellStyle="Percent"/>
    <tableColumn id="9" xr3:uid="{B78D335A-19A3-4487-9279-847BB0593B33}" name="Category based on discount" dataDxfId="9" totalsRowDxfId="0">
      <calculatedColumnFormula array="1">_xlfn.IFS(D2&lt;20%,"Low Discount",D2&lt;40%,"Medium Discount",D2&gt;=40%,"High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AB3B-F30C-43EE-8CC4-C37907B9C59C}">
  <dimension ref="A3:D4"/>
  <sheetViews>
    <sheetView workbookViewId="0">
      <selection activeCell="G12" sqref="G12"/>
    </sheetView>
  </sheetViews>
  <sheetFormatPr defaultRowHeight="14.4" x14ac:dyDescent="0.3"/>
  <cols>
    <col min="1" max="1" width="15.5546875" bestFit="1" customWidth="1"/>
    <col min="2" max="2" width="18.109375" bestFit="1" customWidth="1"/>
    <col min="3" max="3" width="13.5546875" bestFit="1" customWidth="1"/>
    <col min="4" max="4" width="16.77734375" bestFit="1" customWidth="1"/>
  </cols>
  <sheetData>
    <row r="3" spans="1:4" x14ac:dyDescent="0.3">
      <c r="A3" t="s">
        <v>127</v>
      </c>
      <c r="B3" t="s">
        <v>128</v>
      </c>
      <c r="C3" t="s">
        <v>129</v>
      </c>
      <c r="D3" t="s">
        <v>130</v>
      </c>
    </row>
    <row r="4" spans="1:4" x14ac:dyDescent="0.3">
      <c r="A4" s="25">
        <v>112</v>
      </c>
      <c r="B4" s="1">
        <v>0.36776785714285715</v>
      </c>
      <c r="C4" s="3">
        <v>678</v>
      </c>
      <c r="D4" s="2">
        <v>3.9437500000000005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DAE3-16E0-41D3-BADC-01B0A670FC43}">
  <dimension ref="A3:B14"/>
  <sheetViews>
    <sheetView workbookViewId="0">
      <selection activeCell="A22" sqref="A22"/>
    </sheetView>
  </sheetViews>
  <sheetFormatPr defaultRowHeight="14.4" x14ac:dyDescent="0.3"/>
  <cols>
    <col min="1" max="1" width="63.77734375" bestFit="1" customWidth="1"/>
    <col min="2" max="2" width="16.77734375" bestFit="1" customWidth="1"/>
  </cols>
  <sheetData>
    <row r="3" spans="1:2" x14ac:dyDescent="0.3">
      <c r="A3" s="5" t="s">
        <v>131</v>
      </c>
      <c r="B3" t="s">
        <v>130</v>
      </c>
    </row>
    <row r="4" spans="1:2" x14ac:dyDescent="0.3">
      <c r="A4" s="6" t="s">
        <v>26</v>
      </c>
      <c r="B4" s="25">
        <v>4.8</v>
      </c>
    </row>
    <row r="5" spans="1:2" x14ac:dyDescent="0.3">
      <c r="A5" s="6" t="s">
        <v>29</v>
      </c>
      <c r="B5" s="25">
        <v>5</v>
      </c>
    </row>
    <row r="6" spans="1:2" x14ac:dyDescent="0.3">
      <c r="A6" s="6" t="s">
        <v>93</v>
      </c>
      <c r="B6" s="25">
        <v>5</v>
      </c>
    </row>
    <row r="7" spans="1:2" x14ac:dyDescent="0.3">
      <c r="A7" s="6" t="s">
        <v>51</v>
      </c>
      <c r="B7" s="25">
        <v>5</v>
      </c>
    </row>
    <row r="8" spans="1:2" x14ac:dyDescent="0.3">
      <c r="A8" s="6" t="s">
        <v>50</v>
      </c>
      <c r="B8" s="25">
        <v>5</v>
      </c>
    </row>
    <row r="9" spans="1:2" x14ac:dyDescent="0.3">
      <c r="A9" s="6" t="s">
        <v>113</v>
      </c>
      <c r="B9" s="25">
        <v>5</v>
      </c>
    </row>
    <row r="10" spans="1:2" x14ac:dyDescent="0.3">
      <c r="A10" s="6" t="s">
        <v>31</v>
      </c>
      <c r="B10" s="25">
        <v>5</v>
      </c>
    </row>
    <row r="11" spans="1:2" x14ac:dyDescent="0.3">
      <c r="A11" s="6" t="s">
        <v>22</v>
      </c>
      <c r="B11" s="25">
        <v>4.8</v>
      </c>
    </row>
    <row r="12" spans="1:2" x14ac:dyDescent="0.3">
      <c r="A12" s="6" t="s">
        <v>30</v>
      </c>
      <c r="B12" s="25">
        <v>5</v>
      </c>
    </row>
    <row r="13" spans="1:2" x14ac:dyDescent="0.3">
      <c r="A13" s="6" t="s">
        <v>17</v>
      </c>
      <c r="B13" s="25">
        <v>4.8</v>
      </c>
    </row>
    <row r="14" spans="1:2" x14ac:dyDescent="0.3">
      <c r="A14" s="6" t="s">
        <v>132</v>
      </c>
      <c r="B14" s="25">
        <v>4.9399999999999995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0E13-76D2-44C4-9CD2-B3C9C87DEA59}">
  <dimension ref="A3:B14"/>
  <sheetViews>
    <sheetView workbookViewId="0">
      <selection activeCell="A5" sqref="A5"/>
    </sheetView>
  </sheetViews>
  <sheetFormatPr defaultRowHeight="14.4" x14ac:dyDescent="0.3"/>
  <cols>
    <col min="1" max="1" width="72" bestFit="1" customWidth="1"/>
    <col min="2" max="2" width="13.5546875" bestFit="1" customWidth="1"/>
  </cols>
  <sheetData>
    <row r="3" spans="1:2" x14ac:dyDescent="0.3">
      <c r="A3" s="5" t="s">
        <v>131</v>
      </c>
      <c r="B3" t="s">
        <v>129</v>
      </c>
    </row>
    <row r="4" spans="1:2" x14ac:dyDescent="0.3">
      <c r="A4" s="6" t="s">
        <v>25</v>
      </c>
      <c r="B4" s="25">
        <v>39</v>
      </c>
    </row>
    <row r="5" spans="1:2" x14ac:dyDescent="0.3">
      <c r="A5" s="6" t="s">
        <v>76</v>
      </c>
      <c r="B5" s="25">
        <v>69</v>
      </c>
    </row>
    <row r="6" spans="1:2" x14ac:dyDescent="0.3">
      <c r="A6" s="6" t="s">
        <v>20</v>
      </c>
      <c r="B6" s="25">
        <v>55</v>
      </c>
    </row>
    <row r="7" spans="1:2" x14ac:dyDescent="0.3">
      <c r="A7" s="6" t="s">
        <v>33</v>
      </c>
      <c r="B7" s="25">
        <v>44</v>
      </c>
    </row>
    <row r="8" spans="1:2" x14ac:dyDescent="0.3">
      <c r="A8" s="6" t="s">
        <v>49</v>
      </c>
      <c r="B8" s="25">
        <v>32</v>
      </c>
    </row>
    <row r="9" spans="1:2" x14ac:dyDescent="0.3">
      <c r="A9" s="6" t="s">
        <v>82</v>
      </c>
      <c r="B9" s="25">
        <v>17</v>
      </c>
    </row>
    <row r="10" spans="1:2" x14ac:dyDescent="0.3">
      <c r="A10" s="6" t="s">
        <v>40</v>
      </c>
      <c r="B10" s="25">
        <v>49</v>
      </c>
    </row>
    <row r="11" spans="1:2" x14ac:dyDescent="0.3">
      <c r="A11" s="6" t="s">
        <v>15</v>
      </c>
      <c r="B11" s="25">
        <v>24</v>
      </c>
    </row>
    <row r="12" spans="1:2" x14ac:dyDescent="0.3">
      <c r="A12" s="6" t="s">
        <v>52</v>
      </c>
      <c r="B12" s="25">
        <v>36</v>
      </c>
    </row>
    <row r="13" spans="1:2" x14ac:dyDescent="0.3">
      <c r="A13" s="6" t="s">
        <v>78</v>
      </c>
      <c r="B13" s="25">
        <v>16</v>
      </c>
    </row>
    <row r="14" spans="1:2" x14ac:dyDescent="0.3">
      <c r="A14" s="6" t="s">
        <v>132</v>
      </c>
      <c r="B14" s="25">
        <v>381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F66E0-D6F6-49C9-B34A-60358E66CA28}">
  <dimension ref="A3:B14"/>
  <sheetViews>
    <sheetView workbookViewId="0">
      <selection activeCell="A8" sqref="A8"/>
    </sheetView>
  </sheetViews>
  <sheetFormatPr defaultRowHeight="14.4" x14ac:dyDescent="0.3"/>
  <cols>
    <col min="1" max="1" width="68.88671875" bestFit="1" customWidth="1"/>
    <col min="2" max="2" width="18.109375" bestFit="1" customWidth="1"/>
  </cols>
  <sheetData>
    <row r="3" spans="1:2" x14ac:dyDescent="0.3">
      <c r="A3" s="5" t="s">
        <v>131</v>
      </c>
      <c r="B3" t="s">
        <v>128</v>
      </c>
    </row>
    <row r="4" spans="1:2" x14ac:dyDescent="0.3">
      <c r="A4" s="6" t="s">
        <v>34</v>
      </c>
      <c r="B4" s="1">
        <v>0.53</v>
      </c>
    </row>
    <row r="5" spans="1:2" x14ac:dyDescent="0.3">
      <c r="A5" s="6" t="s">
        <v>75</v>
      </c>
      <c r="B5" s="1">
        <v>0.55000000000000004</v>
      </c>
    </row>
    <row r="6" spans="1:2" x14ac:dyDescent="0.3">
      <c r="A6" s="6" t="s">
        <v>121</v>
      </c>
      <c r="B6" s="1">
        <v>0.64</v>
      </c>
    </row>
    <row r="7" spans="1:2" x14ac:dyDescent="0.3">
      <c r="A7" s="6" t="s">
        <v>51</v>
      </c>
      <c r="B7" s="1">
        <v>0.53</v>
      </c>
    </row>
    <row r="8" spans="1:2" x14ac:dyDescent="0.3">
      <c r="A8" s="6" t="s">
        <v>63</v>
      </c>
      <c r="B8" s="1">
        <v>0.55000000000000004</v>
      </c>
    </row>
    <row r="9" spans="1:2" x14ac:dyDescent="0.3">
      <c r="A9" s="6" t="s">
        <v>45</v>
      </c>
      <c r="B9" s="1">
        <v>0.52</v>
      </c>
    </row>
    <row r="10" spans="1:2" x14ac:dyDescent="0.3">
      <c r="A10" s="6" t="s">
        <v>77</v>
      </c>
      <c r="B10" s="1">
        <v>0.52</v>
      </c>
    </row>
    <row r="11" spans="1:2" x14ac:dyDescent="0.3">
      <c r="A11" s="6" t="s">
        <v>39</v>
      </c>
      <c r="B11" s="1">
        <v>0.54</v>
      </c>
    </row>
    <row r="12" spans="1:2" x14ac:dyDescent="0.3">
      <c r="A12" s="6" t="s">
        <v>22</v>
      </c>
      <c r="B12" s="1">
        <v>0.55000000000000004</v>
      </c>
    </row>
    <row r="13" spans="1:2" x14ac:dyDescent="0.3">
      <c r="A13" s="6" t="s">
        <v>74</v>
      </c>
      <c r="B13" s="1">
        <v>0.54</v>
      </c>
    </row>
    <row r="14" spans="1:2" x14ac:dyDescent="0.3">
      <c r="A14" s="6" t="s">
        <v>132</v>
      </c>
      <c r="B14" s="1">
        <v>0.54727272727272724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609E-A682-4E6F-920F-8D8CC85FC3E8}">
  <dimension ref="A3:B26"/>
  <sheetViews>
    <sheetView workbookViewId="0">
      <selection activeCell="A17" sqref="A17"/>
    </sheetView>
  </sheetViews>
  <sheetFormatPr defaultRowHeight="14.4" x14ac:dyDescent="0.3"/>
  <cols>
    <col min="1" max="1" width="12.5546875" bestFit="1" customWidth="1"/>
    <col min="2" max="2" width="18.109375" bestFit="1" customWidth="1"/>
  </cols>
  <sheetData>
    <row r="3" spans="1:2" x14ac:dyDescent="0.3">
      <c r="A3" s="5" t="s">
        <v>131</v>
      </c>
      <c r="B3" t="s">
        <v>128</v>
      </c>
    </row>
    <row r="4" spans="1:2" x14ac:dyDescent="0.3">
      <c r="A4" s="6">
        <v>1</v>
      </c>
      <c r="B4" s="1">
        <v>0.44142857142857139</v>
      </c>
    </row>
    <row r="5" spans="1:2" x14ac:dyDescent="0.3">
      <c r="A5" s="6">
        <v>2</v>
      </c>
      <c r="B5" s="1">
        <v>0.4</v>
      </c>
    </row>
    <row r="6" spans="1:2" x14ac:dyDescent="0.3">
      <c r="A6" s="6">
        <v>3</v>
      </c>
      <c r="B6" s="1">
        <v>0.49</v>
      </c>
    </row>
    <row r="7" spans="1:2" x14ac:dyDescent="0.3">
      <c r="A7" s="6">
        <v>5</v>
      </c>
      <c r="B7" s="1">
        <v>0.36571428571428571</v>
      </c>
    </row>
    <row r="8" spans="1:2" x14ac:dyDescent="0.3">
      <c r="A8" s="6">
        <v>6</v>
      </c>
      <c r="B8" s="1">
        <v>0.375</v>
      </c>
    </row>
    <row r="9" spans="1:2" x14ac:dyDescent="0.3">
      <c r="A9" s="6">
        <v>7</v>
      </c>
      <c r="B9" s="1">
        <v>0.47000000000000003</v>
      </c>
    </row>
    <row r="10" spans="1:2" x14ac:dyDescent="0.3">
      <c r="A10" s="6">
        <v>9</v>
      </c>
      <c r="B10" s="1">
        <v>0.44333333333333336</v>
      </c>
    </row>
    <row r="11" spans="1:2" x14ac:dyDescent="0.3">
      <c r="A11" s="6">
        <v>12</v>
      </c>
      <c r="B11" s="1">
        <v>0.29749999999999999</v>
      </c>
    </row>
    <row r="12" spans="1:2" x14ac:dyDescent="0.3">
      <c r="A12" s="6">
        <v>13</v>
      </c>
      <c r="B12" s="1">
        <v>0.46666666666666673</v>
      </c>
    </row>
    <row r="13" spans="1:2" x14ac:dyDescent="0.3">
      <c r="A13" s="6">
        <v>14</v>
      </c>
      <c r="B13" s="1">
        <v>0.35</v>
      </c>
    </row>
    <row r="14" spans="1:2" x14ac:dyDescent="0.3">
      <c r="A14" s="6">
        <v>15</v>
      </c>
      <c r="B14" s="1">
        <v>0.30499999999999999</v>
      </c>
    </row>
    <row r="15" spans="1:2" x14ac:dyDescent="0.3">
      <c r="A15" s="6">
        <v>16</v>
      </c>
      <c r="B15" s="1">
        <v>0.22</v>
      </c>
    </row>
    <row r="16" spans="1:2" x14ac:dyDescent="0.3">
      <c r="A16" s="6">
        <v>17</v>
      </c>
      <c r="B16" s="1">
        <v>0.45</v>
      </c>
    </row>
    <row r="17" spans="1:2" x14ac:dyDescent="0.3">
      <c r="A17" s="6">
        <v>24</v>
      </c>
      <c r="B17" s="1">
        <v>0.25</v>
      </c>
    </row>
    <row r="18" spans="1:2" x14ac:dyDescent="0.3">
      <c r="A18" s="6">
        <v>32</v>
      </c>
      <c r="B18" s="1">
        <v>0.27</v>
      </c>
    </row>
    <row r="19" spans="1:2" x14ac:dyDescent="0.3">
      <c r="A19" s="6">
        <v>36</v>
      </c>
      <c r="B19" s="1">
        <v>0.41</v>
      </c>
    </row>
    <row r="20" spans="1:2" x14ac:dyDescent="0.3">
      <c r="A20" s="6">
        <v>39</v>
      </c>
      <c r="B20" s="1">
        <v>0.34</v>
      </c>
    </row>
    <row r="21" spans="1:2" x14ac:dyDescent="0.3">
      <c r="A21" s="6">
        <v>44</v>
      </c>
      <c r="B21" s="1">
        <v>0.49</v>
      </c>
    </row>
    <row r="22" spans="1:2" x14ac:dyDescent="0.3">
      <c r="A22" s="6">
        <v>49</v>
      </c>
      <c r="B22" s="1">
        <v>0.35</v>
      </c>
    </row>
    <row r="23" spans="1:2" x14ac:dyDescent="0.3">
      <c r="A23" s="6">
        <v>55</v>
      </c>
      <c r="B23" s="1">
        <v>0.24</v>
      </c>
    </row>
    <row r="24" spans="1:2" x14ac:dyDescent="0.3">
      <c r="A24" s="6">
        <v>69</v>
      </c>
      <c r="B24" s="1">
        <v>0.49</v>
      </c>
    </row>
    <row r="25" spans="1:2" x14ac:dyDescent="0.3">
      <c r="A25" s="6" t="s">
        <v>133</v>
      </c>
      <c r="B25" s="1">
        <v>0.34509090909090911</v>
      </c>
    </row>
    <row r="26" spans="1:2" x14ac:dyDescent="0.3">
      <c r="A26" s="6" t="s">
        <v>132</v>
      </c>
      <c r="B26" s="1">
        <v>0.36776785714285715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EDC13-934A-453C-8D7B-C2E78FE907D1}">
  <dimension ref="A3:B26"/>
  <sheetViews>
    <sheetView workbookViewId="0">
      <selection activeCell="A18" sqref="A18"/>
    </sheetView>
  </sheetViews>
  <sheetFormatPr defaultRowHeight="14.4" x14ac:dyDescent="0.3"/>
  <cols>
    <col min="1" max="1" width="12.5546875" bestFit="1" customWidth="1"/>
    <col min="2" max="2" width="16.77734375" bestFit="1" customWidth="1"/>
    <col min="3" max="3" width="18.109375" bestFit="1" customWidth="1"/>
    <col min="4" max="4" width="5" bestFit="1" customWidth="1"/>
    <col min="5" max="5" width="9.21875" bestFit="1" customWidth="1"/>
    <col min="6" max="6" width="10.77734375" bestFit="1" customWidth="1"/>
    <col min="7" max="10" width="4" bestFit="1" customWidth="1"/>
    <col min="11" max="11" width="2" bestFit="1" customWidth="1"/>
    <col min="12" max="13" width="4" bestFit="1" customWidth="1"/>
    <col min="14" max="14" width="2" bestFit="1" customWidth="1"/>
    <col min="15" max="22" width="4" bestFit="1" customWidth="1"/>
    <col min="23" max="23" width="2" bestFit="1" customWidth="1"/>
    <col min="24" max="24" width="7" bestFit="1" customWidth="1"/>
    <col min="25" max="25" width="10.77734375" bestFit="1" customWidth="1"/>
  </cols>
  <sheetData>
    <row r="3" spans="1:2" x14ac:dyDescent="0.3">
      <c r="A3" s="5" t="s">
        <v>131</v>
      </c>
      <c r="B3" t="s">
        <v>130</v>
      </c>
    </row>
    <row r="4" spans="1:2" x14ac:dyDescent="0.3">
      <c r="A4" s="6">
        <v>1</v>
      </c>
      <c r="B4" s="2">
        <v>3.8571428571428572</v>
      </c>
    </row>
    <row r="5" spans="1:2" x14ac:dyDescent="0.3">
      <c r="A5" s="6">
        <v>2</v>
      </c>
      <c r="B5" s="2">
        <v>4.5999999999999996</v>
      </c>
    </row>
    <row r="6" spans="1:2" x14ac:dyDescent="0.3">
      <c r="A6" s="6">
        <v>3</v>
      </c>
      <c r="B6" s="2">
        <v>5</v>
      </c>
    </row>
    <row r="7" spans="1:2" x14ac:dyDescent="0.3">
      <c r="A7" s="6">
        <v>5</v>
      </c>
      <c r="B7" s="2">
        <v>3.8571428571428572</v>
      </c>
    </row>
    <row r="8" spans="1:2" x14ac:dyDescent="0.3">
      <c r="A8" s="6">
        <v>6</v>
      </c>
      <c r="B8" s="2">
        <v>2.9499999999999997</v>
      </c>
    </row>
    <row r="9" spans="1:2" x14ac:dyDescent="0.3">
      <c r="A9" s="6">
        <v>7</v>
      </c>
      <c r="B9" s="2">
        <v>3.35</v>
      </c>
    </row>
    <row r="10" spans="1:2" x14ac:dyDescent="0.3">
      <c r="A10" s="6">
        <v>9</v>
      </c>
      <c r="B10" s="2">
        <v>4.2666666666666666</v>
      </c>
    </row>
    <row r="11" spans="1:2" x14ac:dyDescent="0.3">
      <c r="A11" s="6">
        <v>12</v>
      </c>
      <c r="B11" s="2">
        <v>4.3499999999999996</v>
      </c>
    </row>
    <row r="12" spans="1:2" x14ac:dyDescent="0.3">
      <c r="A12" s="6">
        <v>13</v>
      </c>
      <c r="B12" s="2">
        <v>3.0666666666666664</v>
      </c>
    </row>
    <row r="13" spans="1:2" x14ac:dyDescent="0.3">
      <c r="A13" s="6">
        <v>14</v>
      </c>
      <c r="B13" s="2">
        <v>4.25</v>
      </c>
    </row>
    <row r="14" spans="1:2" x14ac:dyDescent="0.3">
      <c r="A14" s="6">
        <v>15</v>
      </c>
      <c r="B14" s="2">
        <v>3.35</v>
      </c>
    </row>
    <row r="15" spans="1:2" x14ac:dyDescent="0.3">
      <c r="A15" s="6">
        <v>16</v>
      </c>
      <c r="B15" s="2">
        <v>2.9</v>
      </c>
    </row>
    <row r="16" spans="1:2" x14ac:dyDescent="0.3">
      <c r="A16" s="6">
        <v>17</v>
      </c>
      <c r="B16" s="2">
        <v>2.6</v>
      </c>
    </row>
    <row r="17" spans="1:2" x14ac:dyDescent="0.3">
      <c r="A17" s="6">
        <v>24</v>
      </c>
      <c r="B17" s="2">
        <v>4.5999999999999996</v>
      </c>
    </row>
    <row r="18" spans="1:2" x14ac:dyDescent="0.3">
      <c r="A18" s="6">
        <v>32</v>
      </c>
      <c r="B18" s="2">
        <v>4.5</v>
      </c>
    </row>
    <row r="19" spans="1:2" x14ac:dyDescent="0.3">
      <c r="A19" s="6">
        <v>36</v>
      </c>
      <c r="B19" s="2">
        <v>4.3</v>
      </c>
    </row>
    <row r="20" spans="1:2" x14ac:dyDescent="0.3">
      <c r="A20" s="6">
        <v>39</v>
      </c>
      <c r="B20" s="2">
        <v>4.7</v>
      </c>
    </row>
    <row r="21" spans="1:2" x14ac:dyDescent="0.3">
      <c r="A21" s="6">
        <v>44</v>
      </c>
      <c r="B21" s="2">
        <v>4.5999999999999996</v>
      </c>
    </row>
    <row r="22" spans="1:2" x14ac:dyDescent="0.3">
      <c r="A22" s="6">
        <v>49</v>
      </c>
      <c r="B22" s="2">
        <v>4.5999999999999996</v>
      </c>
    </row>
    <row r="23" spans="1:2" x14ac:dyDescent="0.3">
      <c r="A23" s="6">
        <v>55</v>
      </c>
      <c r="B23" s="2">
        <v>4.5999999999999996</v>
      </c>
    </row>
    <row r="24" spans="1:2" x14ac:dyDescent="0.3">
      <c r="A24" s="6">
        <v>69</v>
      </c>
      <c r="B24" s="2">
        <v>2.8</v>
      </c>
    </row>
    <row r="25" spans="1:2" x14ac:dyDescent="0.3">
      <c r="A25" s="6" t="s">
        <v>133</v>
      </c>
      <c r="B25" s="2">
        <v>4</v>
      </c>
    </row>
    <row r="26" spans="1:2" x14ac:dyDescent="0.3">
      <c r="A26" s="6" t="s">
        <v>132</v>
      </c>
      <c r="B26" s="2">
        <v>3.9437500000000005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73357-7541-408B-9859-F4859E48462C}">
  <dimension ref="A3:B8"/>
  <sheetViews>
    <sheetView workbookViewId="0">
      <selection activeCell="B7" sqref="B7"/>
    </sheetView>
  </sheetViews>
  <sheetFormatPr defaultRowHeight="14.4" x14ac:dyDescent="0.3"/>
  <cols>
    <col min="1" max="1" width="12.5546875" bestFit="1" customWidth="1"/>
    <col min="2" max="2" width="15.5546875" bestFit="1" customWidth="1"/>
    <col min="3" max="3" width="8.44140625" bestFit="1" customWidth="1"/>
    <col min="4" max="4" width="5" bestFit="1" customWidth="1"/>
    <col min="5" max="5" width="9.21875" bestFit="1" customWidth="1"/>
    <col min="6" max="6" width="10.77734375" bestFit="1" customWidth="1"/>
  </cols>
  <sheetData>
    <row r="3" spans="1:2" x14ac:dyDescent="0.3">
      <c r="A3" s="5" t="s">
        <v>131</v>
      </c>
      <c r="B3" t="s">
        <v>127</v>
      </c>
    </row>
    <row r="4" spans="1:2" x14ac:dyDescent="0.3">
      <c r="A4" s="6" t="s">
        <v>13</v>
      </c>
      <c r="B4" s="25">
        <v>22</v>
      </c>
    </row>
    <row r="5" spans="1:2" x14ac:dyDescent="0.3">
      <c r="A5" s="6" t="s">
        <v>9</v>
      </c>
      <c r="B5" s="25">
        <v>23</v>
      </c>
    </row>
    <row r="6" spans="1:2" x14ac:dyDescent="0.3">
      <c r="A6" s="6" t="s">
        <v>11</v>
      </c>
      <c r="B6" s="25">
        <v>12</v>
      </c>
    </row>
    <row r="7" spans="1:2" x14ac:dyDescent="0.3">
      <c r="A7" s="6" t="s">
        <v>36</v>
      </c>
      <c r="B7" s="25">
        <v>55</v>
      </c>
    </row>
    <row r="8" spans="1:2" x14ac:dyDescent="0.3">
      <c r="A8" s="6" t="s">
        <v>132</v>
      </c>
      <c r="B8" s="25">
        <v>112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0D634-E14E-4C25-BED0-F8E15E264412}">
  <dimension ref="A3:B7"/>
  <sheetViews>
    <sheetView workbookViewId="0">
      <selection activeCell="B6" sqref="B6"/>
    </sheetView>
  </sheetViews>
  <sheetFormatPr defaultRowHeight="14.4" x14ac:dyDescent="0.3"/>
  <cols>
    <col min="1" max="1" width="15.33203125" bestFit="1" customWidth="1"/>
    <col min="2" max="2" width="15.5546875" bestFit="1" customWidth="1"/>
    <col min="3" max="3" width="12.21875" bestFit="1" customWidth="1"/>
    <col min="4" max="4" width="16" bestFit="1" customWidth="1"/>
    <col min="5" max="5" width="10.77734375" bestFit="1" customWidth="1"/>
  </cols>
  <sheetData>
    <row r="3" spans="1:2" x14ac:dyDescent="0.3">
      <c r="A3" s="5" t="s">
        <v>131</v>
      </c>
      <c r="B3" t="s">
        <v>127</v>
      </c>
    </row>
    <row r="4" spans="1:2" x14ac:dyDescent="0.3">
      <c r="A4" s="6" t="s">
        <v>14</v>
      </c>
      <c r="B4" s="25">
        <v>63</v>
      </c>
    </row>
    <row r="5" spans="1:2" x14ac:dyDescent="0.3">
      <c r="A5" s="6" t="s">
        <v>19</v>
      </c>
      <c r="B5" s="25">
        <v>18</v>
      </c>
    </row>
    <row r="6" spans="1:2" x14ac:dyDescent="0.3">
      <c r="A6" s="6" t="s">
        <v>10</v>
      </c>
      <c r="B6" s="25">
        <v>31</v>
      </c>
    </row>
    <row r="7" spans="1:2" x14ac:dyDescent="0.3">
      <c r="A7" s="6" t="s">
        <v>132</v>
      </c>
      <c r="B7" s="25">
        <v>112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E762-EE7F-4AAD-A487-F3694BFD088E}">
  <dimension ref="A1:I118"/>
  <sheetViews>
    <sheetView topLeftCell="A73" workbookViewId="0">
      <selection activeCell="D120" sqref="D120"/>
    </sheetView>
  </sheetViews>
  <sheetFormatPr defaultRowHeight="14.4" x14ac:dyDescent="0.3"/>
  <cols>
    <col min="1" max="1" width="87.88671875" bestFit="1" customWidth="1"/>
    <col min="2" max="2" width="13.77734375" style="3" customWidth="1"/>
    <col min="3" max="3" width="10.109375" style="3" customWidth="1"/>
    <col min="4" max="4" width="10.21875" customWidth="1"/>
    <col min="5" max="5" width="8.88671875" style="3" customWidth="1"/>
    <col min="6" max="6" width="9" style="3" customWidth="1"/>
    <col min="7" max="7" width="14" style="3" customWidth="1"/>
    <col min="8" max="8" width="24.33203125" customWidth="1"/>
    <col min="9" max="9" width="26.21875" customWidth="1"/>
  </cols>
  <sheetData>
    <row r="1" spans="1:9" s="4" customFormat="1" x14ac:dyDescent="0.3">
      <c r="A1" s="24" t="s">
        <v>0</v>
      </c>
      <c r="B1" s="24" t="s">
        <v>1</v>
      </c>
      <c r="C1" s="24" t="s">
        <v>2</v>
      </c>
      <c r="D1" s="24" t="s">
        <v>3</v>
      </c>
      <c r="E1" s="24" t="s">
        <v>4</v>
      </c>
      <c r="F1" s="24" t="s">
        <v>5</v>
      </c>
      <c r="G1" s="24" t="s">
        <v>6</v>
      </c>
      <c r="H1" s="24" t="s">
        <v>7</v>
      </c>
      <c r="I1" s="24" t="s">
        <v>126</v>
      </c>
    </row>
    <row r="2" spans="1:9" x14ac:dyDescent="0.3">
      <c r="A2" s="9" t="s">
        <v>8</v>
      </c>
      <c r="B2" s="8">
        <v>950</v>
      </c>
      <c r="C2" s="8">
        <v>1525</v>
      </c>
      <c r="D2" s="9">
        <v>0.38</v>
      </c>
      <c r="E2" s="8">
        <v>2</v>
      </c>
      <c r="F2" s="8">
        <v>4.5</v>
      </c>
      <c r="G2" s="8">
        <v>575</v>
      </c>
      <c r="H2" s="9" t="s">
        <v>9</v>
      </c>
      <c r="I2" s="10" t="str" cm="1">
        <f t="array" ref="I2">_xlfn.IFS(D2&lt;20%,"Low Discount",D2&lt;40%,"Medium Discount",D2&gt;=40%,"High Discount")</f>
        <v>Medium Discount</v>
      </c>
    </row>
    <row r="3" spans="1:9" x14ac:dyDescent="0.3">
      <c r="A3" s="12" t="s">
        <v>12</v>
      </c>
      <c r="B3" s="11">
        <v>527</v>
      </c>
      <c r="C3" s="11">
        <v>999</v>
      </c>
      <c r="D3" s="12">
        <v>0.47</v>
      </c>
      <c r="E3" s="11">
        <v>14</v>
      </c>
      <c r="F3" s="11">
        <v>4.0999999999999996</v>
      </c>
      <c r="G3" s="11">
        <v>472</v>
      </c>
      <c r="H3" s="12" t="s">
        <v>13</v>
      </c>
      <c r="I3" s="13" t="str" cm="1">
        <f t="array" ref="I3">_xlfn.IFS(D3&lt;20%,"Low Discount",D3&lt;40%,"Medium Discount",D3&gt;=40%,"High Discount")</f>
        <v>High Discount</v>
      </c>
    </row>
    <row r="4" spans="1:9" x14ac:dyDescent="0.3">
      <c r="A4" s="9" t="s">
        <v>15</v>
      </c>
      <c r="B4" s="8">
        <v>2199</v>
      </c>
      <c r="C4" s="8">
        <v>2923</v>
      </c>
      <c r="D4" s="9">
        <v>0.25</v>
      </c>
      <c r="E4" s="8">
        <v>24</v>
      </c>
      <c r="F4" s="8">
        <v>4.5999999999999996</v>
      </c>
      <c r="G4" s="8">
        <v>724</v>
      </c>
      <c r="H4" s="9" t="s">
        <v>9</v>
      </c>
      <c r="I4" s="10" t="str" cm="1">
        <f t="array" ref="I4">_xlfn.IFS(D4&lt;20%,"Low Discount",D4&lt;40%,"Medium Discount",D4&gt;=40%,"High Discount")</f>
        <v>Medium Discount</v>
      </c>
    </row>
    <row r="5" spans="1:9" x14ac:dyDescent="0.3">
      <c r="A5" s="12" t="s">
        <v>16</v>
      </c>
      <c r="B5" s="11">
        <v>1580</v>
      </c>
      <c r="C5" s="11">
        <v>2499</v>
      </c>
      <c r="D5" s="12">
        <v>0.37</v>
      </c>
      <c r="E5" s="11">
        <v>7</v>
      </c>
      <c r="F5" s="11">
        <v>4.7</v>
      </c>
      <c r="G5" s="11">
        <v>919</v>
      </c>
      <c r="H5" s="12" t="s">
        <v>9</v>
      </c>
      <c r="I5" s="13" t="str" cm="1">
        <f t="array" ref="I5">_xlfn.IFS(D5&lt;20%,"Low Discount",D5&lt;40%,"Medium Discount",D5&gt;=40%,"High Discount")</f>
        <v>Medium Discount</v>
      </c>
    </row>
    <row r="6" spans="1:9" x14ac:dyDescent="0.3">
      <c r="A6" s="9" t="s">
        <v>17</v>
      </c>
      <c r="B6" s="8">
        <v>1740</v>
      </c>
      <c r="C6" s="8">
        <v>2356</v>
      </c>
      <c r="D6" s="9">
        <v>0.26</v>
      </c>
      <c r="E6" s="8">
        <v>5</v>
      </c>
      <c r="F6" s="8">
        <v>4.8</v>
      </c>
      <c r="G6" s="8">
        <v>616</v>
      </c>
      <c r="H6" s="9" t="s">
        <v>9</v>
      </c>
      <c r="I6" s="10" t="str" cm="1">
        <f t="array" ref="I6">_xlfn.IFS(D6&lt;20%,"Low Discount",D6&lt;40%,"Medium Discount",D6&gt;=40%,"High Discount")</f>
        <v>Medium Discount</v>
      </c>
    </row>
    <row r="7" spans="1:9" x14ac:dyDescent="0.3">
      <c r="A7" s="12" t="s">
        <v>18</v>
      </c>
      <c r="B7" s="11">
        <v>2999</v>
      </c>
      <c r="C7" s="11">
        <v>3290</v>
      </c>
      <c r="D7" s="12">
        <v>0.09</v>
      </c>
      <c r="E7" s="11">
        <v>15</v>
      </c>
      <c r="F7" s="11">
        <v>4</v>
      </c>
      <c r="G7" s="11">
        <v>291</v>
      </c>
      <c r="H7" s="12" t="s">
        <v>13</v>
      </c>
      <c r="I7" s="13" t="str" cm="1">
        <f t="array" ref="I7">_xlfn.IFS(D7&lt;20%,"Low Discount",D7&lt;40%,"Medium Discount",D7&gt;=40%,"High Discount")</f>
        <v>Low Discount</v>
      </c>
    </row>
    <row r="8" spans="1:9" x14ac:dyDescent="0.3">
      <c r="A8" s="9" t="s">
        <v>20</v>
      </c>
      <c r="B8" s="8">
        <v>2319</v>
      </c>
      <c r="C8" s="8">
        <v>3032</v>
      </c>
      <c r="D8" s="9">
        <v>0.24</v>
      </c>
      <c r="E8" s="8">
        <v>55</v>
      </c>
      <c r="F8" s="8">
        <v>4.5999999999999996</v>
      </c>
      <c r="G8" s="8">
        <v>713</v>
      </c>
      <c r="H8" s="9" t="s">
        <v>9</v>
      </c>
      <c r="I8" s="10" t="str" cm="1">
        <f t="array" ref="I8">_xlfn.IFS(D8&lt;20%,"Low Discount",D8&lt;40%,"Medium Discount",D8&gt;=40%,"High Discount")</f>
        <v>Medium Discount</v>
      </c>
    </row>
    <row r="9" spans="1:9" x14ac:dyDescent="0.3">
      <c r="A9" s="12" t="s">
        <v>21</v>
      </c>
      <c r="B9" s="11">
        <v>988</v>
      </c>
      <c r="C9" s="11">
        <v>1580</v>
      </c>
      <c r="D9" s="12">
        <v>0.37</v>
      </c>
      <c r="E9" s="11">
        <v>2</v>
      </c>
      <c r="F9" s="11">
        <v>4</v>
      </c>
      <c r="G9" s="11">
        <v>592</v>
      </c>
      <c r="H9" s="12" t="s">
        <v>13</v>
      </c>
      <c r="I9" s="13" t="str" cm="1">
        <f t="array" ref="I9">_xlfn.IFS(D9&lt;20%,"Low Discount",D9&lt;40%,"Medium Discount",D9&gt;=40%,"High Discount")</f>
        <v>Medium Discount</v>
      </c>
    </row>
    <row r="10" spans="1:9" x14ac:dyDescent="0.3">
      <c r="A10" s="9" t="s">
        <v>22</v>
      </c>
      <c r="B10" s="8">
        <v>1274</v>
      </c>
      <c r="C10" s="8">
        <v>2800</v>
      </c>
      <c r="D10" s="9">
        <v>0.55000000000000004</v>
      </c>
      <c r="E10" s="8">
        <v>5</v>
      </c>
      <c r="F10" s="8">
        <v>4.8</v>
      </c>
      <c r="G10" s="8">
        <v>1526</v>
      </c>
      <c r="H10" s="9" t="s">
        <v>9</v>
      </c>
      <c r="I10" s="10" t="str" cm="1">
        <f t="array" ref="I10">_xlfn.IFS(D10&lt;20%,"Low Discount",D10&lt;40%,"Medium Discount",D10&gt;=40%,"High Discount")</f>
        <v>High Discount</v>
      </c>
    </row>
    <row r="11" spans="1:9" x14ac:dyDescent="0.3">
      <c r="A11" s="12" t="s">
        <v>23</v>
      </c>
      <c r="B11" s="11">
        <v>1600</v>
      </c>
      <c r="C11" s="11">
        <v>2929</v>
      </c>
      <c r="D11" s="12">
        <v>0.45</v>
      </c>
      <c r="E11" s="11">
        <v>5</v>
      </c>
      <c r="F11" s="11">
        <v>3.8</v>
      </c>
      <c r="G11" s="11">
        <v>1329</v>
      </c>
      <c r="H11" s="12" t="s">
        <v>13</v>
      </c>
      <c r="I11" s="13" t="str" cm="1">
        <f t="array" ref="I11">_xlfn.IFS(D11&lt;20%,"Low Discount",D11&lt;40%,"Medium Discount",D11&gt;=40%,"High Discount")</f>
        <v>High Discount</v>
      </c>
    </row>
    <row r="12" spans="1:9" x14ac:dyDescent="0.3">
      <c r="A12" s="9" t="s">
        <v>24</v>
      </c>
      <c r="B12" s="8">
        <v>799</v>
      </c>
      <c r="C12" s="8">
        <v>999</v>
      </c>
      <c r="D12" s="9">
        <v>0.2</v>
      </c>
      <c r="E12" s="8">
        <v>12</v>
      </c>
      <c r="F12" s="8">
        <v>4.0999999999999996</v>
      </c>
      <c r="G12" s="8">
        <v>200</v>
      </c>
      <c r="H12" s="9" t="s">
        <v>13</v>
      </c>
      <c r="I12" s="10" t="str" cm="1">
        <f t="array" ref="I12">_xlfn.IFS(D12&lt;20%,"Low Discount",D12&lt;40%,"Medium Discount",D12&gt;=40%,"High Discount")</f>
        <v>Medium Discount</v>
      </c>
    </row>
    <row r="13" spans="1:9" x14ac:dyDescent="0.3">
      <c r="A13" s="12" t="s">
        <v>25</v>
      </c>
      <c r="B13" s="11">
        <v>990</v>
      </c>
      <c r="C13" s="11">
        <v>1500</v>
      </c>
      <c r="D13" s="12">
        <v>0.34</v>
      </c>
      <c r="E13" s="11">
        <v>39</v>
      </c>
      <c r="F13" s="11">
        <v>4.7</v>
      </c>
      <c r="G13" s="11">
        <v>510</v>
      </c>
      <c r="H13" s="12" t="s">
        <v>9</v>
      </c>
      <c r="I13" s="13" t="str" cm="1">
        <f t="array" ref="I13">_xlfn.IFS(D13&lt;20%,"Low Discount",D13&lt;40%,"Medium Discount",D13&gt;=40%,"High Discount")</f>
        <v>Medium Discount</v>
      </c>
    </row>
    <row r="14" spans="1:9" x14ac:dyDescent="0.3">
      <c r="A14" s="9" t="s">
        <v>26</v>
      </c>
      <c r="B14" s="8">
        <v>552</v>
      </c>
      <c r="C14" s="8">
        <v>1035</v>
      </c>
      <c r="D14" s="9">
        <v>0.47</v>
      </c>
      <c r="E14" s="8">
        <v>12</v>
      </c>
      <c r="F14" s="8">
        <v>4.8</v>
      </c>
      <c r="G14" s="8">
        <v>483</v>
      </c>
      <c r="H14" s="9" t="s">
        <v>9</v>
      </c>
      <c r="I14" s="10" t="str" cm="1">
        <f t="array" ref="I14">_xlfn.IFS(D14&lt;20%,"Low Discount",D14&lt;40%,"Medium Discount",D14&gt;=40%,"High Discount")</f>
        <v>High Discount</v>
      </c>
    </row>
    <row r="15" spans="1:9" x14ac:dyDescent="0.3">
      <c r="A15" s="12" t="s">
        <v>27</v>
      </c>
      <c r="B15" s="11">
        <v>501</v>
      </c>
      <c r="C15" s="11">
        <v>860</v>
      </c>
      <c r="D15" s="12">
        <v>0.42</v>
      </c>
      <c r="E15" s="11">
        <v>6</v>
      </c>
      <c r="F15" s="11">
        <v>4.5</v>
      </c>
      <c r="G15" s="11">
        <v>359</v>
      </c>
      <c r="H15" s="12" t="s">
        <v>9</v>
      </c>
      <c r="I15" s="13" t="str" cm="1">
        <f t="array" ref="I15">_xlfn.IFS(D15&lt;20%,"Low Discount",D15&lt;40%,"Medium Discount",D15&gt;=40%,"High Discount")</f>
        <v>High Discount</v>
      </c>
    </row>
    <row r="16" spans="1:9" x14ac:dyDescent="0.3">
      <c r="A16" s="9" t="s">
        <v>28</v>
      </c>
      <c r="B16" s="8">
        <v>1680</v>
      </c>
      <c r="C16" s="8">
        <v>2499</v>
      </c>
      <c r="D16" s="9">
        <v>0.33</v>
      </c>
      <c r="E16" s="8">
        <v>9</v>
      </c>
      <c r="F16" s="8">
        <v>4.2</v>
      </c>
      <c r="G16" s="8">
        <v>819</v>
      </c>
      <c r="H16" s="9" t="s">
        <v>13</v>
      </c>
      <c r="I16" s="10" t="str" cm="1">
        <f t="array" ref="I16">_xlfn.IFS(D16&lt;20%,"Low Discount",D16&lt;40%,"Medium Discount",D16&gt;=40%,"High Discount")</f>
        <v>Medium Discount</v>
      </c>
    </row>
    <row r="17" spans="1:9" x14ac:dyDescent="0.3">
      <c r="A17" s="12" t="s">
        <v>29</v>
      </c>
      <c r="B17" s="11">
        <v>332</v>
      </c>
      <c r="C17" s="11">
        <v>684</v>
      </c>
      <c r="D17" s="12">
        <v>0.51</v>
      </c>
      <c r="E17" s="11">
        <v>2</v>
      </c>
      <c r="F17" s="11">
        <v>5</v>
      </c>
      <c r="G17" s="11">
        <v>352</v>
      </c>
      <c r="H17" s="12" t="s">
        <v>9</v>
      </c>
      <c r="I17" s="13" t="str" cm="1">
        <f t="array" ref="I17">_xlfn.IFS(D17&lt;20%,"Low Discount",D17&lt;40%,"Medium Discount",D17&gt;=40%,"High Discount")</f>
        <v>High Discount</v>
      </c>
    </row>
    <row r="18" spans="1:9" x14ac:dyDescent="0.3">
      <c r="A18" s="9" t="s">
        <v>30</v>
      </c>
      <c r="B18" s="8">
        <v>195</v>
      </c>
      <c r="C18" s="8">
        <v>360</v>
      </c>
      <c r="D18" s="9">
        <v>0.46</v>
      </c>
      <c r="E18" s="8">
        <v>2</v>
      </c>
      <c r="F18" s="8">
        <v>5</v>
      </c>
      <c r="G18" s="8">
        <v>165</v>
      </c>
      <c r="H18" s="9" t="s">
        <v>9</v>
      </c>
      <c r="I18" s="10" t="str" cm="1">
        <f t="array" ref="I18">_xlfn.IFS(D18&lt;20%,"Low Discount",D18&lt;40%,"Medium Discount",D18&gt;=40%,"High Discount")</f>
        <v>High Discount</v>
      </c>
    </row>
    <row r="19" spans="1:9" x14ac:dyDescent="0.3">
      <c r="A19" s="12" t="s">
        <v>31</v>
      </c>
      <c r="B19" s="11">
        <v>2025</v>
      </c>
      <c r="C19" s="11">
        <v>3971</v>
      </c>
      <c r="D19" s="12">
        <v>0.49</v>
      </c>
      <c r="E19" s="11">
        <v>3</v>
      </c>
      <c r="F19" s="11">
        <v>5</v>
      </c>
      <c r="G19" s="11">
        <v>1946</v>
      </c>
      <c r="H19" s="12" t="s">
        <v>9</v>
      </c>
      <c r="I19" s="13" t="str" cm="1">
        <f t="array" ref="I19">_xlfn.IFS(D19&lt;20%,"Low Discount",D19&lt;40%,"Medium Discount",D19&gt;=40%,"High Discount")</f>
        <v>High Discount</v>
      </c>
    </row>
    <row r="20" spans="1:9" x14ac:dyDescent="0.3">
      <c r="A20" s="9" t="s">
        <v>32</v>
      </c>
      <c r="B20" s="8">
        <v>2999</v>
      </c>
      <c r="C20" s="8">
        <v>3699</v>
      </c>
      <c r="D20" s="9">
        <v>0.19</v>
      </c>
      <c r="E20" s="8">
        <v>5</v>
      </c>
      <c r="F20" s="8">
        <v>4.5999999999999996</v>
      </c>
      <c r="G20" s="8">
        <v>700</v>
      </c>
      <c r="H20" s="9" t="s">
        <v>9</v>
      </c>
      <c r="I20" s="10" t="str" cm="1">
        <f t="array" ref="I20">_xlfn.IFS(D20&lt;20%,"Low Discount",D20&lt;40%,"Medium Discount",D20&gt;=40%,"High Discount")</f>
        <v>Low Discount</v>
      </c>
    </row>
    <row r="21" spans="1:9" x14ac:dyDescent="0.3">
      <c r="A21" s="12" t="s">
        <v>33</v>
      </c>
      <c r="B21" s="11">
        <v>998</v>
      </c>
      <c r="C21" s="11">
        <v>1966</v>
      </c>
      <c r="D21" s="12">
        <v>0.49</v>
      </c>
      <c r="E21" s="11">
        <v>44</v>
      </c>
      <c r="F21" s="11">
        <v>4.5999999999999996</v>
      </c>
      <c r="G21" s="11">
        <v>968</v>
      </c>
      <c r="H21" s="12" t="s">
        <v>9</v>
      </c>
      <c r="I21" s="13" t="str" cm="1">
        <f t="array" ref="I21">_xlfn.IFS(D21&lt;20%,"Low Discount",D21&lt;40%,"Medium Discount",D21&gt;=40%,"High Discount")</f>
        <v>High Discount</v>
      </c>
    </row>
    <row r="22" spans="1:9" x14ac:dyDescent="0.3">
      <c r="A22" s="9" t="s">
        <v>34</v>
      </c>
      <c r="B22" s="8">
        <v>38</v>
      </c>
      <c r="C22" s="8">
        <v>80</v>
      </c>
      <c r="D22" s="9">
        <v>0.53</v>
      </c>
      <c r="E22" s="8">
        <v>13</v>
      </c>
      <c r="F22" s="8">
        <v>3.3</v>
      </c>
      <c r="G22" s="8">
        <v>42</v>
      </c>
      <c r="H22" s="9" t="s">
        <v>13</v>
      </c>
      <c r="I22" s="10" t="str" cm="1">
        <f t="array" ref="I22">_xlfn.IFS(D22&lt;20%,"Low Discount",D22&lt;40%,"Medium Discount",D22&gt;=40%,"High Discount")</f>
        <v>High Discount</v>
      </c>
    </row>
    <row r="23" spans="1:9" x14ac:dyDescent="0.3">
      <c r="A23" s="12" t="s">
        <v>35</v>
      </c>
      <c r="B23" s="11">
        <v>1860</v>
      </c>
      <c r="C23" s="11">
        <v>3220</v>
      </c>
      <c r="D23" s="12">
        <v>0.42</v>
      </c>
      <c r="E23" s="11"/>
      <c r="F23" s="11">
        <v>4</v>
      </c>
      <c r="G23" s="11">
        <v>1360</v>
      </c>
      <c r="H23" s="12" t="s">
        <v>36</v>
      </c>
      <c r="I23" s="13" t="str" cm="1">
        <f t="array" ref="I23">_xlfn.IFS(D23&lt;20%,"Low Discount",D23&lt;40%,"Medium Discount",D23&gt;=40%,"High Discount")</f>
        <v>High Discount</v>
      </c>
    </row>
    <row r="24" spans="1:9" x14ac:dyDescent="0.3">
      <c r="A24" s="9" t="s">
        <v>37</v>
      </c>
      <c r="B24" s="8">
        <v>880</v>
      </c>
      <c r="C24" s="8">
        <v>1350</v>
      </c>
      <c r="D24" s="9">
        <v>0.35</v>
      </c>
      <c r="E24" s="8">
        <v>6</v>
      </c>
      <c r="F24" s="8">
        <v>4</v>
      </c>
      <c r="G24" s="8">
        <v>470</v>
      </c>
      <c r="H24" s="9" t="s">
        <v>13</v>
      </c>
      <c r="I24" s="10" t="str" cm="1">
        <f t="array" ref="I24">_xlfn.IFS(D24&lt;20%,"Low Discount",D24&lt;40%,"Medium Discount",D24&gt;=40%,"High Discount")</f>
        <v>Medium Discount</v>
      </c>
    </row>
    <row r="25" spans="1:9" x14ac:dyDescent="0.3">
      <c r="A25" s="12" t="s">
        <v>38</v>
      </c>
      <c r="B25" s="11">
        <v>1650</v>
      </c>
      <c r="C25" s="11">
        <v>2150</v>
      </c>
      <c r="D25" s="12">
        <v>0.23</v>
      </c>
      <c r="E25" s="11">
        <v>14</v>
      </c>
      <c r="F25" s="11">
        <v>4.4000000000000004</v>
      </c>
      <c r="G25" s="11">
        <v>500</v>
      </c>
      <c r="H25" s="12" t="s">
        <v>13</v>
      </c>
      <c r="I25" s="13" t="str" cm="1">
        <f t="array" ref="I25">_xlfn.IFS(D25&lt;20%,"Low Discount",D25&lt;40%,"Medium Discount",D25&gt;=40%,"High Discount")</f>
        <v>Medium Discount</v>
      </c>
    </row>
    <row r="26" spans="1:9" x14ac:dyDescent="0.3">
      <c r="A26" s="9" t="s">
        <v>39</v>
      </c>
      <c r="B26" s="8">
        <v>2048</v>
      </c>
      <c r="C26" s="8">
        <v>4500</v>
      </c>
      <c r="D26" s="9">
        <v>0.54</v>
      </c>
      <c r="E26" s="8">
        <v>7</v>
      </c>
      <c r="F26" s="8">
        <v>4.3</v>
      </c>
      <c r="G26" s="8">
        <v>2452</v>
      </c>
      <c r="H26" s="9" t="s">
        <v>13</v>
      </c>
      <c r="I26" s="10" t="str" cm="1">
        <f t="array" ref="I26">_xlfn.IFS(D26&lt;20%,"Low Discount",D26&lt;40%,"Medium Discount",D26&gt;=40%,"High Discount")</f>
        <v>High Discount</v>
      </c>
    </row>
    <row r="27" spans="1:9" x14ac:dyDescent="0.3">
      <c r="A27" s="12" t="s">
        <v>40</v>
      </c>
      <c r="B27" s="11">
        <v>420</v>
      </c>
      <c r="C27" s="11">
        <v>647</v>
      </c>
      <c r="D27" s="12">
        <v>0.35</v>
      </c>
      <c r="E27" s="11">
        <v>49</v>
      </c>
      <c r="F27" s="11">
        <v>4.5999999999999996</v>
      </c>
      <c r="G27" s="11">
        <v>227</v>
      </c>
      <c r="H27" s="12" t="s">
        <v>9</v>
      </c>
      <c r="I27" s="13" t="str" cm="1">
        <f t="array" ref="I27">_xlfn.IFS(D27&lt;20%,"Low Discount",D27&lt;40%,"Medium Discount",D27&gt;=40%,"High Discount")</f>
        <v>Medium Discount</v>
      </c>
    </row>
    <row r="28" spans="1:9" x14ac:dyDescent="0.3">
      <c r="A28" s="9" t="s">
        <v>41</v>
      </c>
      <c r="B28" s="8">
        <v>2880</v>
      </c>
      <c r="C28" s="8">
        <v>3520</v>
      </c>
      <c r="D28" s="9">
        <v>0.18</v>
      </c>
      <c r="E28" s="8">
        <v>12</v>
      </c>
      <c r="F28" s="8">
        <v>3.8</v>
      </c>
      <c r="G28" s="8">
        <v>640</v>
      </c>
      <c r="H28" s="9" t="s">
        <v>13</v>
      </c>
      <c r="I28" s="10" t="str" cm="1">
        <f t="array" ref="I28">_xlfn.IFS(D28&lt;20%,"Low Discount",D28&lt;40%,"Medium Discount",D28&gt;=40%,"High Discount")</f>
        <v>Low Discount</v>
      </c>
    </row>
    <row r="29" spans="1:9" x14ac:dyDescent="0.3">
      <c r="A29" s="12" t="s">
        <v>42</v>
      </c>
      <c r="B29" s="11">
        <v>1350</v>
      </c>
      <c r="C29" s="11">
        <v>1990</v>
      </c>
      <c r="D29" s="12">
        <v>0.32</v>
      </c>
      <c r="E29" s="11">
        <v>13</v>
      </c>
      <c r="F29" s="11">
        <v>3.8</v>
      </c>
      <c r="G29" s="11">
        <v>640</v>
      </c>
      <c r="H29" s="12" t="s">
        <v>13</v>
      </c>
      <c r="I29" s="13" t="str" cm="1">
        <f t="array" ref="I29">_xlfn.IFS(D29&lt;20%,"Low Discount",D29&lt;40%,"Medium Discount",D29&gt;=40%,"High Discount")</f>
        <v>Medium Discount</v>
      </c>
    </row>
    <row r="30" spans="1:9" x14ac:dyDescent="0.3">
      <c r="A30" s="9" t="s">
        <v>43</v>
      </c>
      <c r="B30" s="8">
        <v>1758</v>
      </c>
      <c r="C30" s="8">
        <v>2499</v>
      </c>
      <c r="D30" s="9">
        <v>0.3</v>
      </c>
      <c r="E30" s="8">
        <v>2</v>
      </c>
      <c r="F30" s="8">
        <v>4.0999999999999996</v>
      </c>
      <c r="G30" s="8">
        <v>741</v>
      </c>
      <c r="H30" s="9" t="s">
        <v>13</v>
      </c>
      <c r="I30" s="10" t="str" cm="1">
        <f t="array" ref="I30">_xlfn.IFS(D30&lt;20%,"Low Discount",D30&lt;40%,"Medium Discount",D30&gt;=40%,"High Discount")</f>
        <v>Medium Discount</v>
      </c>
    </row>
    <row r="31" spans="1:9" x14ac:dyDescent="0.3">
      <c r="A31" s="12" t="s">
        <v>44</v>
      </c>
      <c r="B31" s="11">
        <v>2200</v>
      </c>
      <c r="C31" s="11">
        <v>4080</v>
      </c>
      <c r="D31" s="12">
        <v>0.46</v>
      </c>
      <c r="E31" s="11"/>
      <c r="F31" s="11">
        <v>4</v>
      </c>
      <c r="G31" s="11">
        <v>1880</v>
      </c>
      <c r="H31" s="12" t="s">
        <v>36</v>
      </c>
      <c r="I31" s="13" t="str" cm="1">
        <f t="array" ref="I31">_xlfn.IFS(D31&lt;20%,"Low Discount",D31&lt;40%,"Medium Discount",D31&gt;=40%,"High Discount")</f>
        <v>High Discount</v>
      </c>
    </row>
    <row r="32" spans="1:9" x14ac:dyDescent="0.3">
      <c r="A32" s="9" t="s">
        <v>45</v>
      </c>
      <c r="B32" s="8">
        <v>185</v>
      </c>
      <c r="C32" s="8">
        <v>382</v>
      </c>
      <c r="D32" s="9">
        <v>0.52</v>
      </c>
      <c r="E32" s="8">
        <v>9</v>
      </c>
      <c r="F32" s="8">
        <v>4.3</v>
      </c>
      <c r="G32" s="8">
        <v>197</v>
      </c>
      <c r="H32" s="9" t="s">
        <v>13</v>
      </c>
      <c r="I32" s="10" t="str" cm="1">
        <f t="array" ref="I32">_xlfn.IFS(D32&lt;20%,"Low Discount",D32&lt;40%,"Medium Discount",D32&gt;=40%,"High Discount")</f>
        <v>High Discount</v>
      </c>
    </row>
    <row r="33" spans="1:9" x14ac:dyDescent="0.3">
      <c r="A33" s="12" t="s">
        <v>46</v>
      </c>
      <c r="B33" s="11">
        <v>980</v>
      </c>
      <c r="C33" s="11">
        <v>1490</v>
      </c>
      <c r="D33" s="12">
        <v>0.34</v>
      </c>
      <c r="E33" s="11">
        <v>12</v>
      </c>
      <c r="F33" s="11">
        <v>4.7</v>
      </c>
      <c r="G33" s="11">
        <v>510</v>
      </c>
      <c r="H33" s="12" t="s">
        <v>9</v>
      </c>
      <c r="I33" s="13" t="str" cm="1">
        <f t="array" ref="I33">_xlfn.IFS(D33&lt;20%,"Low Discount",D33&lt;40%,"Medium Discount",D33&gt;=40%,"High Discount")</f>
        <v>Medium Discount</v>
      </c>
    </row>
    <row r="34" spans="1:9" x14ac:dyDescent="0.3">
      <c r="A34" s="9" t="s">
        <v>47</v>
      </c>
      <c r="B34" s="8">
        <v>1820</v>
      </c>
      <c r="C34" s="8">
        <v>3490</v>
      </c>
      <c r="D34" s="9">
        <v>0.48</v>
      </c>
      <c r="E34" s="8">
        <v>9</v>
      </c>
      <c r="F34" s="8">
        <v>4.3</v>
      </c>
      <c r="G34" s="8">
        <v>1670</v>
      </c>
      <c r="H34" s="9" t="s">
        <v>13</v>
      </c>
      <c r="I34" s="10" t="str" cm="1">
        <f t="array" ref="I34">_xlfn.IFS(D34&lt;20%,"Low Discount",D34&lt;40%,"Medium Discount",D34&gt;=40%,"High Discount")</f>
        <v>High Discount</v>
      </c>
    </row>
    <row r="35" spans="1:9" x14ac:dyDescent="0.3">
      <c r="A35" s="12" t="s">
        <v>48</v>
      </c>
      <c r="B35" s="11">
        <v>1940</v>
      </c>
      <c r="C35" s="11">
        <v>2650</v>
      </c>
      <c r="D35" s="12">
        <v>0.27</v>
      </c>
      <c r="E35" s="11">
        <v>2</v>
      </c>
      <c r="F35" s="11">
        <v>4.7</v>
      </c>
      <c r="G35" s="11">
        <v>710</v>
      </c>
      <c r="H35" s="12" t="s">
        <v>9</v>
      </c>
      <c r="I35" s="13" t="str" cm="1">
        <f t="array" ref="I35">_xlfn.IFS(D35&lt;20%,"Low Discount",D35&lt;40%,"Medium Discount",D35&gt;=40%,"High Discount")</f>
        <v>Medium Discount</v>
      </c>
    </row>
    <row r="36" spans="1:9" x14ac:dyDescent="0.3">
      <c r="A36" s="9" t="s">
        <v>49</v>
      </c>
      <c r="B36" s="8">
        <v>1980</v>
      </c>
      <c r="C36" s="8">
        <v>2699</v>
      </c>
      <c r="D36" s="9">
        <v>0.27</v>
      </c>
      <c r="E36" s="8">
        <v>32</v>
      </c>
      <c r="F36" s="8">
        <v>4.5</v>
      </c>
      <c r="G36" s="8">
        <v>719</v>
      </c>
      <c r="H36" s="9" t="s">
        <v>9</v>
      </c>
      <c r="I36" s="10" t="str" cm="1">
        <f t="array" ref="I36">_xlfn.IFS(D36&lt;20%,"Low Discount",D36&lt;40%,"Medium Discount",D36&gt;=40%,"High Discount")</f>
        <v>Medium Discount</v>
      </c>
    </row>
    <row r="37" spans="1:9" x14ac:dyDescent="0.3">
      <c r="A37" s="12" t="s">
        <v>50</v>
      </c>
      <c r="B37" s="11">
        <v>1620</v>
      </c>
      <c r="C37" s="11">
        <v>2690</v>
      </c>
      <c r="D37" s="12">
        <v>0.4</v>
      </c>
      <c r="E37" s="11">
        <v>1</v>
      </c>
      <c r="F37" s="11">
        <v>5</v>
      </c>
      <c r="G37" s="11">
        <v>1070</v>
      </c>
      <c r="H37" s="12" t="s">
        <v>9</v>
      </c>
      <c r="I37" s="13" t="str" cm="1">
        <f t="array" ref="I37">_xlfn.IFS(D37&lt;20%,"Low Discount",D37&lt;40%,"Medium Discount",D37&gt;=40%,"High Discount")</f>
        <v>High Discount</v>
      </c>
    </row>
    <row r="38" spans="1:9" x14ac:dyDescent="0.3">
      <c r="A38" s="9" t="s">
        <v>51</v>
      </c>
      <c r="B38" s="8">
        <v>171</v>
      </c>
      <c r="C38" s="8">
        <v>360</v>
      </c>
      <c r="D38" s="9">
        <v>0.53</v>
      </c>
      <c r="E38" s="8">
        <v>2</v>
      </c>
      <c r="F38" s="8">
        <v>5</v>
      </c>
      <c r="G38" s="8">
        <v>189</v>
      </c>
      <c r="H38" s="9" t="s">
        <v>9</v>
      </c>
      <c r="I38" s="10" t="str" cm="1">
        <f t="array" ref="I38">_xlfn.IFS(D38&lt;20%,"Low Discount",D38&lt;40%,"Medium Discount",D38&gt;=40%,"High Discount")</f>
        <v>High Discount</v>
      </c>
    </row>
    <row r="39" spans="1:9" x14ac:dyDescent="0.3">
      <c r="A39" s="12" t="s">
        <v>52</v>
      </c>
      <c r="B39" s="11">
        <v>389</v>
      </c>
      <c r="C39" s="11">
        <v>656</v>
      </c>
      <c r="D39" s="12">
        <v>0.41</v>
      </c>
      <c r="E39" s="11">
        <v>36</v>
      </c>
      <c r="F39" s="11">
        <v>4.3</v>
      </c>
      <c r="G39" s="11">
        <v>267</v>
      </c>
      <c r="H39" s="12" t="s">
        <v>13</v>
      </c>
      <c r="I39" s="13" t="str" cm="1">
        <f t="array" ref="I39">_xlfn.IFS(D39&lt;20%,"Low Discount",D39&lt;40%,"Medium Discount",D39&gt;=40%,"High Discount")</f>
        <v>High Discount</v>
      </c>
    </row>
    <row r="40" spans="1:9" x14ac:dyDescent="0.3">
      <c r="A40" s="9" t="s">
        <v>53</v>
      </c>
      <c r="B40" s="8">
        <v>1980</v>
      </c>
      <c r="C40" s="8">
        <v>3200</v>
      </c>
      <c r="D40" s="9">
        <v>0.38</v>
      </c>
      <c r="E40" s="8">
        <v>2</v>
      </c>
      <c r="F40" s="8">
        <v>4.5</v>
      </c>
      <c r="G40" s="8">
        <v>1220</v>
      </c>
      <c r="H40" s="9" t="s">
        <v>9</v>
      </c>
      <c r="I40" s="10" t="str" cm="1">
        <f t="array" ref="I40">_xlfn.IFS(D40&lt;20%,"Low Discount",D40&lt;40%,"Medium Discount",D40&gt;=40%,"High Discount")</f>
        <v>Medium Discount</v>
      </c>
    </row>
    <row r="41" spans="1:9" x14ac:dyDescent="0.3">
      <c r="A41" s="12" t="s">
        <v>54</v>
      </c>
      <c r="B41" s="11">
        <v>2750</v>
      </c>
      <c r="C41" s="11">
        <v>4471</v>
      </c>
      <c r="D41" s="12">
        <v>0.38</v>
      </c>
      <c r="E41" s="11"/>
      <c r="F41" s="11">
        <v>4</v>
      </c>
      <c r="G41" s="11">
        <v>1721</v>
      </c>
      <c r="H41" s="12" t="s">
        <v>36</v>
      </c>
      <c r="I41" s="13" t="str" cm="1">
        <f t="array" ref="I41">_xlfn.IFS(D41&lt;20%,"Low Discount",D41&lt;40%,"Medium Discount",D41&gt;=40%,"High Discount")</f>
        <v>Medium Discount</v>
      </c>
    </row>
    <row r="42" spans="1:9" x14ac:dyDescent="0.3">
      <c r="A42" s="9" t="s">
        <v>55</v>
      </c>
      <c r="B42" s="8">
        <v>475</v>
      </c>
      <c r="C42" s="8">
        <v>931</v>
      </c>
      <c r="D42" s="9">
        <v>0.49</v>
      </c>
      <c r="E42" s="8"/>
      <c r="F42" s="8">
        <v>4</v>
      </c>
      <c r="G42" s="8">
        <v>456</v>
      </c>
      <c r="H42" s="9" t="s">
        <v>36</v>
      </c>
      <c r="I42" s="10" t="str" cm="1">
        <f t="array" ref="I42">_xlfn.IFS(D42&lt;20%,"Low Discount",D42&lt;40%,"Medium Discount",D42&gt;=40%,"High Discount")</f>
        <v>High Discount</v>
      </c>
    </row>
    <row r="43" spans="1:9" x14ac:dyDescent="0.3">
      <c r="A43" s="12" t="s">
        <v>56</v>
      </c>
      <c r="B43" s="11">
        <v>238</v>
      </c>
      <c r="C43" s="11">
        <v>476</v>
      </c>
      <c r="D43" s="12">
        <v>0.5</v>
      </c>
      <c r="E43" s="11"/>
      <c r="F43" s="11">
        <v>4</v>
      </c>
      <c r="G43" s="11">
        <v>238</v>
      </c>
      <c r="H43" s="12" t="s">
        <v>36</v>
      </c>
      <c r="I43" s="13" t="str" cm="1">
        <f t="array" ref="I43">_xlfn.IFS(D43&lt;20%,"Low Discount",D43&lt;40%,"Medium Discount",D43&gt;=40%,"High Discount")</f>
        <v>High Discount</v>
      </c>
    </row>
    <row r="44" spans="1:9" x14ac:dyDescent="0.3">
      <c r="A44" s="9" t="s">
        <v>57</v>
      </c>
      <c r="B44" s="8">
        <v>610</v>
      </c>
      <c r="C44" s="8">
        <v>1060</v>
      </c>
      <c r="D44" s="9">
        <v>0.42</v>
      </c>
      <c r="E44" s="8"/>
      <c r="F44" s="8">
        <v>4</v>
      </c>
      <c r="G44" s="8">
        <v>450</v>
      </c>
      <c r="H44" s="9" t="s">
        <v>36</v>
      </c>
      <c r="I44" s="10" t="str" cm="1">
        <f t="array" ref="I44">_xlfn.IFS(D44&lt;20%,"Low Discount",D44&lt;40%,"Medium Discount",D44&gt;=40%,"High Discount")</f>
        <v>High Discount</v>
      </c>
    </row>
    <row r="45" spans="1:9" x14ac:dyDescent="0.3">
      <c r="A45" s="12" t="s">
        <v>58</v>
      </c>
      <c r="B45" s="11">
        <v>2132</v>
      </c>
      <c r="C45" s="11">
        <v>2169</v>
      </c>
      <c r="D45" s="12">
        <v>0.02</v>
      </c>
      <c r="E45" s="11"/>
      <c r="F45" s="11">
        <v>4</v>
      </c>
      <c r="G45" s="11">
        <v>37</v>
      </c>
      <c r="H45" s="12" t="s">
        <v>36</v>
      </c>
      <c r="I45" s="13" t="str" cm="1">
        <f t="array" ref="I45">_xlfn.IFS(D45&lt;20%,"Low Discount",D45&lt;40%,"Medium Discount",D45&gt;=40%,"High Discount")</f>
        <v>Low Discount</v>
      </c>
    </row>
    <row r="46" spans="1:9" x14ac:dyDescent="0.3">
      <c r="A46" s="9" t="s">
        <v>59</v>
      </c>
      <c r="B46" s="8">
        <v>999</v>
      </c>
      <c r="C46" s="8">
        <v>2000</v>
      </c>
      <c r="D46" s="9">
        <v>0.5</v>
      </c>
      <c r="E46" s="8"/>
      <c r="F46" s="8">
        <v>4</v>
      </c>
      <c r="G46" s="8">
        <v>1001</v>
      </c>
      <c r="H46" s="9" t="s">
        <v>36</v>
      </c>
      <c r="I46" s="10" t="str" cm="1">
        <f t="array" ref="I46">_xlfn.IFS(D46&lt;20%,"Low Discount",D46&lt;40%,"Medium Discount",D46&gt;=40%,"High Discount")</f>
        <v>High Discount</v>
      </c>
    </row>
    <row r="47" spans="1:9" x14ac:dyDescent="0.3">
      <c r="A47" s="12" t="s">
        <v>60</v>
      </c>
      <c r="B47" s="11">
        <v>1190</v>
      </c>
      <c r="C47" s="11">
        <v>1785</v>
      </c>
      <c r="D47" s="12">
        <v>0.33</v>
      </c>
      <c r="E47" s="11"/>
      <c r="F47" s="11">
        <v>4</v>
      </c>
      <c r="G47" s="11">
        <v>595</v>
      </c>
      <c r="H47" s="12" t="s">
        <v>36</v>
      </c>
      <c r="I47" s="13" t="str" cm="1">
        <f t="array" ref="I47">_xlfn.IFS(D47&lt;20%,"Low Discount",D47&lt;40%,"Medium Discount",D47&gt;=40%,"High Discount")</f>
        <v>Medium Discount</v>
      </c>
    </row>
    <row r="48" spans="1:9" x14ac:dyDescent="0.3">
      <c r="A48" s="9" t="s">
        <v>61</v>
      </c>
      <c r="B48" s="8">
        <v>671</v>
      </c>
      <c r="C48" s="8">
        <v>1316</v>
      </c>
      <c r="D48" s="9">
        <v>0.49</v>
      </c>
      <c r="E48" s="8"/>
      <c r="F48" s="8">
        <v>4</v>
      </c>
      <c r="G48" s="8">
        <v>645</v>
      </c>
      <c r="H48" s="9" t="s">
        <v>36</v>
      </c>
      <c r="I48" s="10" t="str" cm="1">
        <f t="array" ref="I48">_xlfn.IFS(D48&lt;20%,"Low Discount",D48&lt;40%,"Medium Discount",D48&gt;=40%,"High Discount")</f>
        <v>High Discount</v>
      </c>
    </row>
    <row r="49" spans="1:9" x14ac:dyDescent="0.3">
      <c r="A49" s="12" t="s">
        <v>62</v>
      </c>
      <c r="B49" s="11">
        <v>1200</v>
      </c>
      <c r="C49" s="11">
        <v>1950</v>
      </c>
      <c r="D49" s="12">
        <v>0.38</v>
      </c>
      <c r="E49" s="11"/>
      <c r="F49" s="11">
        <v>4</v>
      </c>
      <c r="G49" s="11">
        <v>750</v>
      </c>
      <c r="H49" s="12" t="s">
        <v>36</v>
      </c>
      <c r="I49" s="13" t="str" cm="1">
        <f t="array" ref="I49">_xlfn.IFS(D49&lt;20%,"Low Discount",D49&lt;40%,"Medium Discount",D49&gt;=40%,"High Discount")</f>
        <v>Medium Discount</v>
      </c>
    </row>
    <row r="50" spans="1:9" x14ac:dyDescent="0.3">
      <c r="A50" s="9" t="s">
        <v>63</v>
      </c>
      <c r="B50" s="8">
        <v>199</v>
      </c>
      <c r="C50" s="8">
        <v>504</v>
      </c>
      <c r="D50" s="9">
        <v>0.61</v>
      </c>
      <c r="E50" s="8"/>
      <c r="F50" s="8">
        <v>4</v>
      </c>
      <c r="G50" s="8">
        <v>305</v>
      </c>
      <c r="H50" s="9" t="s">
        <v>36</v>
      </c>
      <c r="I50" s="10" t="str" cm="1">
        <f t="array" ref="I50">_xlfn.IFS(D50&lt;20%,"Low Discount",D50&lt;40%,"Medium Discount",D50&gt;=40%,"High Discount")</f>
        <v>High Discount</v>
      </c>
    </row>
    <row r="51" spans="1:9" x14ac:dyDescent="0.3">
      <c r="A51" s="12" t="s">
        <v>64</v>
      </c>
      <c r="B51" s="11">
        <v>299</v>
      </c>
      <c r="C51" s="11">
        <v>600</v>
      </c>
      <c r="D51" s="12">
        <v>0.5</v>
      </c>
      <c r="E51" s="11"/>
      <c r="F51" s="11">
        <v>4</v>
      </c>
      <c r="G51" s="11">
        <v>301</v>
      </c>
      <c r="H51" s="12" t="s">
        <v>36</v>
      </c>
      <c r="I51" s="13" t="str" cm="1">
        <f t="array" ref="I51">_xlfn.IFS(D51&lt;20%,"Low Discount",D51&lt;40%,"Medium Discount",D51&gt;=40%,"High Discount")</f>
        <v>High Discount</v>
      </c>
    </row>
    <row r="52" spans="1:9" x14ac:dyDescent="0.3">
      <c r="A52" s="9" t="s">
        <v>65</v>
      </c>
      <c r="B52" s="8">
        <v>1660</v>
      </c>
      <c r="C52" s="8">
        <v>1699</v>
      </c>
      <c r="D52" s="9">
        <v>0.02</v>
      </c>
      <c r="E52" s="8"/>
      <c r="F52" s="8">
        <v>4</v>
      </c>
      <c r="G52" s="8">
        <v>39</v>
      </c>
      <c r="H52" s="9" t="s">
        <v>36</v>
      </c>
      <c r="I52" s="10" t="str" cm="1">
        <f t="array" ref="I52">_xlfn.IFS(D52&lt;20%,"Low Discount",D52&lt;40%,"Medium Discount",D52&gt;=40%,"High Discount")</f>
        <v>Low Discount</v>
      </c>
    </row>
    <row r="53" spans="1:9" x14ac:dyDescent="0.3">
      <c r="A53" s="12" t="s">
        <v>66</v>
      </c>
      <c r="B53" s="11">
        <v>299</v>
      </c>
      <c r="C53" s="11">
        <v>384</v>
      </c>
      <c r="D53" s="12">
        <v>0.22</v>
      </c>
      <c r="E53" s="11"/>
      <c r="F53" s="11">
        <v>4</v>
      </c>
      <c r="G53" s="11">
        <v>85</v>
      </c>
      <c r="H53" s="12" t="s">
        <v>36</v>
      </c>
      <c r="I53" s="13" t="str" cm="1">
        <f t="array" ref="I53">_xlfn.IFS(D53&lt;20%,"Low Discount",D53&lt;40%,"Medium Discount",D53&gt;=40%,"High Discount")</f>
        <v>Medium Discount</v>
      </c>
    </row>
    <row r="54" spans="1:9" x14ac:dyDescent="0.3">
      <c r="A54" s="9" t="s">
        <v>67</v>
      </c>
      <c r="B54" s="8">
        <v>1459</v>
      </c>
      <c r="C54" s="8">
        <v>1499</v>
      </c>
      <c r="D54" s="9">
        <v>0.03</v>
      </c>
      <c r="E54" s="8"/>
      <c r="F54" s="8">
        <v>4</v>
      </c>
      <c r="G54" s="8">
        <v>40</v>
      </c>
      <c r="H54" s="9" t="s">
        <v>36</v>
      </c>
      <c r="I54" s="10" t="str" cm="1">
        <f t="array" ref="I54">_xlfn.IFS(D54&lt;20%,"Low Discount",D54&lt;40%,"Medium Discount",D54&gt;=40%,"High Discount")</f>
        <v>Low Discount</v>
      </c>
    </row>
    <row r="55" spans="1:9" x14ac:dyDescent="0.3">
      <c r="A55" s="12" t="s">
        <v>68</v>
      </c>
      <c r="B55" s="11">
        <v>799</v>
      </c>
      <c r="C55" s="11">
        <v>1343</v>
      </c>
      <c r="D55" s="12">
        <v>0.41</v>
      </c>
      <c r="E55" s="11"/>
      <c r="F55" s="11">
        <v>4</v>
      </c>
      <c r="G55" s="11">
        <v>544</v>
      </c>
      <c r="H55" s="12" t="s">
        <v>36</v>
      </c>
      <c r="I55" s="13" t="str" cm="1">
        <f t="array" ref="I55">_xlfn.IFS(D55&lt;20%,"Low Discount",D55&lt;40%,"Medium Discount",D55&gt;=40%,"High Discount")</f>
        <v>High Discount</v>
      </c>
    </row>
    <row r="56" spans="1:9" x14ac:dyDescent="0.3">
      <c r="A56" s="9" t="s">
        <v>69</v>
      </c>
      <c r="B56" s="8">
        <v>499</v>
      </c>
      <c r="C56" s="8">
        <v>900</v>
      </c>
      <c r="D56" s="9">
        <v>0.45</v>
      </c>
      <c r="E56" s="8"/>
      <c r="F56" s="8">
        <v>4</v>
      </c>
      <c r="G56" s="8">
        <v>401</v>
      </c>
      <c r="H56" s="9" t="s">
        <v>36</v>
      </c>
      <c r="I56" s="10" t="str" cm="1">
        <f t="array" ref="I56">_xlfn.IFS(D56&lt;20%,"Low Discount",D56&lt;40%,"Medium Discount",D56&gt;=40%,"High Discount")</f>
        <v>High Discount</v>
      </c>
    </row>
    <row r="57" spans="1:9" x14ac:dyDescent="0.3">
      <c r="A57" s="12" t="s">
        <v>70</v>
      </c>
      <c r="B57" s="11">
        <v>699</v>
      </c>
      <c r="C57" s="11">
        <v>1343</v>
      </c>
      <c r="D57" s="12">
        <v>0.48</v>
      </c>
      <c r="E57" s="11"/>
      <c r="F57" s="11">
        <v>4</v>
      </c>
      <c r="G57" s="11">
        <v>644</v>
      </c>
      <c r="H57" s="12" t="s">
        <v>36</v>
      </c>
      <c r="I57" s="13" t="str" cm="1">
        <f t="array" ref="I57">_xlfn.IFS(D57&lt;20%,"Low Discount",D57&lt;40%,"Medium Discount",D57&gt;=40%,"High Discount")</f>
        <v>High Discount</v>
      </c>
    </row>
    <row r="58" spans="1:9" x14ac:dyDescent="0.3">
      <c r="A58" s="9" t="s">
        <v>71</v>
      </c>
      <c r="B58" s="8">
        <v>799</v>
      </c>
      <c r="C58" s="8">
        <v>1567</v>
      </c>
      <c r="D58" s="9">
        <v>0.49</v>
      </c>
      <c r="E58" s="8"/>
      <c r="F58" s="8">
        <v>4</v>
      </c>
      <c r="G58" s="8">
        <v>768</v>
      </c>
      <c r="H58" s="9" t="s">
        <v>36</v>
      </c>
      <c r="I58" s="10" t="str" cm="1">
        <f t="array" ref="I58">_xlfn.IFS(D58&lt;20%,"Low Discount",D58&lt;40%,"Medium Discount",D58&gt;=40%,"High Discount")</f>
        <v>High Discount</v>
      </c>
    </row>
    <row r="59" spans="1:9" x14ac:dyDescent="0.3">
      <c r="A59" s="12" t="s">
        <v>72</v>
      </c>
      <c r="B59" s="11">
        <v>2799</v>
      </c>
      <c r="C59" s="11">
        <v>3810</v>
      </c>
      <c r="D59" s="12">
        <v>0.27</v>
      </c>
      <c r="E59" s="11"/>
      <c r="F59" s="11">
        <v>4</v>
      </c>
      <c r="G59" s="11">
        <v>1011</v>
      </c>
      <c r="H59" s="12" t="s">
        <v>36</v>
      </c>
      <c r="I59" s="13" t="str" cm="1">
        <f t="array" ref="I59">_xlfn.IFS(D59&lt;20%,"Low Discount",D59&lt;40%,"Medium Discount",D59&gt;=40%,"High Discount")</f>
        <v>Medium Discount</v>
      </c>
    </row>
    <row r="60" spans="1:9" x14ac:dyDescent="0.3">
      <c r="A60" s="9" t="s">
        <v>69</v>
      </c>
      <c r="B60" s="8">
        <v>399</v>
      </c>
      <c r="C60" s="8">
        <v>896</v>
      </c>
      <c r="D60" s="9">
        <v>0.55000000000000004</v>
      </c>
      <c r="E60" s="8"/>
      <c r="F60" s="8">
        <v>4</v>
      </c>
      <c r="G60" s="8">
        <v>497</v>
      </c>
      <c r="H60" s="9" t="s">
        <v>36</v>
      </c>
      <c r="I60" s="10" t="str" cm="1">
        <f t="array" ref="I60">_xlfn.IFS(D60&lt;20%,"Low Discount",D60&lt;40%,"Medium Discount",D60&gt;=40%,"High Discount")</f>
        <v>High Discount</v>
      </c>
    </row>
    <row r="61" spans="1:9" x14ac:dyDescent="0.3">
      <c r="A61" s="12" t="s">
        <v>73</v>
      </c>
      <c r="B61" s="11">
        <v>2170</v>
      </c>
      <c r="C61" s="11">
        <v>2500</v>
      </c>
      <c r="D61" s="12">
        <v>0.13</v>
      </c>
      <c r="E61" s="11">
        <v>6</v>
      </c>
      <c r="F61" s="11">
        <v>2.5</v>
      </c>
      <c r="G61" s="11">
        <v>330</v>
      </c>
      <c r="H61" s="12" t="s">
        <v>11</v>
      </c>
      <c r="I61" s="13" t="str" cm="1">
        <f t="array" ref="I61">_xlfn.IFS(D61&lt;20%,"Low Discount",D61&lt;40%,"Medium Discount",D61&gt;=40%,"High Discount")</f>
        <v>Low Discount</v>
      </c>
    </row>
    <row r="62" spans="1:9" x14ac:dyDescent="0.3">
      <c r="A62" s="9" t="s">
        <v>74</v>
      </c>
      <c r="B62" s="8">
        <v>458</v>
      </c>
      <c r="C62" s="8">
        <v>986</v>
      </c>
      <c r="D62" s="9">
        <v>0.54</v>
      </c>
      <c r="E62" s="8">
        <v>1</v>
      </c>
      <c r="F62" s="8">
        <v>3</v>
      </c>
      <c r="G62" s="8">
        <v>528</v>
      </c>
      <c r="H62" s="9" t="s">
        <v>13</v>
      </c>
      <c r="I62" s="10" t="str" cm="1">
        <f t="array" ref="I62">_xlfn.IFS(D62&lt;20%,"Low Discount",D62&lt;40%,"Medium Discount",D62&gt;=40%,"High Discount")</f>
        <v>High Discount</v>
      </c>
    </row>
    <row r="63" spans="1:9" x14ac:dyDescent="0.3">
      <c r="A63" s="12" t="s">
        <v>75</v>
      </c>
      <c r="B63" s="11">
        <v>2115</v>
      </c>
      <c r="C63" s="11">
        <v>4700</v>
      </c>
      <c r="D63" s="12">
        <v>0.55000000000000004</v>
      </c>
      <c r="E63" s="11">
        <v>13</v>
      </c>
      <c r="F63" s="11">
        <v>2.1</v>
      </c>
      <c r="G63" s="11">
        <v>2585</v>
      </c>
      <c r="H63" s="12" t="s">
        <v>11</v>
      </c>
      <c r="I63" s="13" t="str" cm="1">
        <f t="array" ref="I63">_xlfn.IFS(D63&lt;20%,"Low Discount",D63&lt;40%,"Medium Discount",D63&gt;=40%,"High Discount")</f>
        <v>High Discount</v>
      </c>
    </row>
    <row r="64" spans="1:9" x14ac:dyDescent="0.3">
      <c r="A64" s="9" t="s">
        <v>76</v>
      </c>
      <c r="B64" s="8">
        <v>445</v>
      </c>
      <c r="C64" s="8">
        <v>873</v>
      </c>
      <c r="D64" s="9">
        <v>0.49</v>
      </c>
      <c r="E64" s="8">
        <v>69</v>
      </c>
      <c r="F64" s="8">
        <v>2.8</v>
      </c>
      <c r="G64" s="8">
        <v>428</v>
      </c>
      <c r="H64" s="9" t="s">
        <v>11</v>
      </c>
      <c r="I64" s="10" t="str" cm="1">
        <f t="array" ref="I64">_xlfn.IFS(D64&lt;20%,"Low Discount",D64&lt;40%,"Medium Discount",D64&gt;=40%,"High Discount")</f>
        <v>High Discount</v>
      </c>
    </row>
    <row r="65" spans="1:9" x14ac:dyDescent="0.3">
      <c r="A65" s="12" t="s">
        <v>77</v>
      </c>
      <c r="B65" s="11">
        <v>325</v>
      </c>
      <c r="C65" s="11">
        <v>680</v>
      </c>
      <c r="D65" s="12">
        <v>0.52</v>
      </c>
      <c r="E65" s="11">
        <v>15</v>
      </c>
      <c r="F65" s="11">
        <v>2.7</v>
      </c>
      <c r="G65" s="11">
        <v>355</v>
      </c>
      <c r="H65" s="12" t="s">
        <v>11</v>
      </c>
      <c r="I65" s="13" t="str" cm="1">
        <f t="array" ref="I65">_xlfn.IFS(D65&lt;20%,"Low Discount",D65&lt;40%,"Medium Discount",D65&gt;=40%,"High Discount")</f>
        <v>High Discount</v>
      </c>
    </row>
    <row r="66" spans="1:9" x14ac:dyDescent="0.3">
      <c r="A66" s="9" t="s">
        <v>78</v>
      </c>
      <c r="B66" s="8">
        <v>1220</v>
      </c>
      <c r="C66" s="8">
        <v>1555</v>
      </c>
      <c r="D66" s="9">
        <v>0.22</v>
      </c>
      <c r="E66" s="8">
        <v>16</v>
      </c>
      <c r="F66" s="8">
        <v>2.9</v>
      </c>
      <c r="G66" s="8">
        <v>335</v>
      </c>
      <c r="H66" s="9" t="s">
        <v>11</v>
      </c>
      <c r="I66" s="10" t="str" cm="1">
        <f t="array" ref="I66">_xlfn.IFS(D66&lt;20%,"Low Discount",D66&lt;40%,"Medium Discount",D66&gt;=40%,"High Discount")</f>
        <v>Medium Discount</v>
      </c>
    </row>
    <row r="67" spans="1:9" x14ac:dyDescent="0.3">
      <c r="A67" s="12" t="s">
        <v>79</v>
      </c>
      <c r="B67" s="11">
        <v>990</v>
      </c>
      <c r="C67" s="11">
        <v>1814</v>
      </c>
      <c r="D67" s="12">
        <v>0.45</v>
      </c>
      <c r="E67" s="11">
        <v>6</v>
      </c>
      <c r="F67" s="11">
        <v>2.2000000000000002</v>
      </c>
      <c r="G67" s="11">
        <v>824</v>
      </c>
      <c r="H67" s="12" t="s">
        <v>11</v>
      </c>
      <c r="I67" s="13" t="str" cm="1">
        <f t="array" ref="I67">_xlfn.IFS(D67&lt;20%,"Low Discount",D67&lt;40%,"Medium Discount",D67&gt;=40%,"High Discount")</f>
        <v>High Discount</v>
      </c>
    </row>
    <row r="68" spans="1:9" x14ac:dyDescent="0.3">
      <c r="A68" s="9" t="s">
        <v>80</v>
      </c>
      <c r="B68" s="8">
        <v>1000</v>
      </c>
      <c r="C68" s="8">
        <v>2000</v>
      </c>
      <c r="D68" s="9">
        <v>0.5</v>
      </c>
      <c r="E68" s="8">
        <v>7</v>
      </c>
      <c r="F68" s="8">
        <v>2.2999999999999998</v>
      </c>
      <c r="G68" s="8">
        <v>1000</v>
      </c>
      <c r="H68" s="9" t="s">
        <v>11</v>
      </c>
      <c r="I68" s="10" t="str" cm="1">
        <f t="array" ref="I68">_xlfn.IFS(D68&lt;20%,"Low Discount",D68&lt;40%,"Medium Discount",D68&gt;=40%,"High Discount")</f>
        <v>High Discount</v>
      </c>
    </row>
    <row r="69" spans="1:9" x14ac:dyDescent="0.3">
      <c r="A69" s="12" t="s">
        <v>81</v>
      </c>
      <c r="B69" s="11">
        <v>3750</v>
      </c>
      <c r="C69" s="11">
        <v>6143</v>
      </c>
      <c r="D69" s="12">
        <v>0.39</v>
      </c>
      <c r="E69" s="11">
        <v>5</v>
      </c>
      <c r="F69" s="11">
        <v>3</v>
      </c>
      <c r="G69" s="11">
        <v>2393</v>
      </c>
      <c r="H69" s="12" t="s">
        <v>13</v>
      </c>
      <c r="I69" s="13" t="str" cm="1">
        <f t="array" ref="I69">_xlfn.IFS(D69&lt;20%,"Low Discount",D69&lt;40%,"Medium Discount",D69&gt;=40%,"High Discount")</f>
        <v>Medium Discount</v>
      </c>
    </row>
    <row r="70" spans="1:9" x14ac:dyDescent="0.3">
      <c r="A70" s="9" t="s">
        <v>82</v>
      </c>
      <c r="B70" s="8">
        <v>382</v>
      </c>
      <c r="C70" s="8">
        <v>700</v>
      </c>
      <c r="D70" s="9">
        <v>0.45</v>
      </c>
      <c r="E70" s="8">
        <v>17</v>
      </c>
      <c r="F70" s="8">
        <v>2.6</v>
      </c>
      <c r="G70" s="8">
        <v>318</v>
      </c>
      <c r="H70" s="9" t="s">
        <v>11</v>
      </c>
      <c r="I70" s="10" t="str" cm="1">
        <f t="array" ref="I70">_xlfn.IFS(D70&lt;20%,"Low Discount",D70&lt;40%,"Medium Discount",D70&gt;=40%,"High Discount")</f>
        <v>High Discount</v>
      </c>
    </row>
    <row r="71" spans="1:9" x14ac:dyDescent="0.3">
      <c r="A71" s="12" t="s">
        <v>83</v>
      </c>
      <c r="B71" s="11">
        <v>2300</v>
      </c>
      <c r="C71" s="11">
        <v>3240</v>
      </c>
      <c r="D71" s="12">
        <v>0.28999999999999998</v>
      </c>
      <c r="E71" s="11">
        <v>5</v>
      </c>
      <c r="F71" s="11">
        <v>3</v>
      </c>
      <c r="G71" s="11">
        <v>940</v>
      </c>
      <c r="H71" s="12" t="s">
        <v>13</v>
      </c>
      <c r="I71" s="13" t="str" cm="1">
        <f t="array" ref="I71">_xlfn.IFS(D71&lt;20%,"Low Discount",D71&lt;40%,"Medium Discount",D71&gt;=40%,"High Discount")</f>
        <v>Medium Discount</v>
      </c>
    </row>
    <row r="72" spans="1:9" x14ac:dyDescent="0.3">
      <c r="A72" s="9" t="s">
        <v>84</v>
      </c>
      <c r="B72" s="8">
        <v>345</v>
      </c>
      <c r="C72" s="8">
        <v>602</v>
      </c>
      <c r="D72" s="9">
        <v>0.43</v>
      </c>
      <c r="E72" s="8">
        <v>6</v>
      </c>
      <c r="F72" s="8">
        <v>2.2999999999999998</v>
      </c>
      <c r="G72" s="8">
        <v>257</v>
      </c>
      <c r="H72" s="9" t="s">
        <v>11</v>
      </c>
      <c r="I72" s="10" t="str" cm="1">
        <f t="array" ref="I72">_xlfn.IFS(D72&lt;20%,"Low Discount",D72&lt;40%,"Medium Discount",D72&gt;=40%,"High Discount")</f>
        <v>High Discount</v>
      </c>
    </row>
    <row r="73" spans="1:9" x14ac:dyDescent="0.3">
      <c r="A73" s="12" t="s">
        <v>85</v>
      </c>
      <c r="B73" s="11">
        <v>509</v>
      </c>
      <c r="C73" s="11">
        <v>899</v>
      </c>
      <c r="D73" s="12">
        <v>0.43</v>
      </c>
      <c r="E73" s="11">
        <v>5</v>
      </c>
      <c r="F73" s="11">
        <v>3</v>
      </c>
      <c r="G73" s="11">
        <v>390</v>
      </c>
      <c r="H73" s="12" t="s">
        <v>13</v>
      </c>
      <c r="I73" s="13" t="str" cm="1">
        <f t="array" ref="I73">_xlfn.IFS(D73&lt;20%,"Low Discount",D73&lt;40%,"Medium Discount",D73&gt;=40%,"High Discount")</f>
        <v>High Discount</v>
      </c>
    </row>
    <row r="74" spans="1:9" x14ac:dyDescent="0.3">
      <c r="A74" s="9" t="s">
        <v>86</v>
      </c>
      <c r="B74" s="8">
        <v>968</v>
      </c>
      <c r="C74" s="8">
        <v>1814</v>
      </c>
      <c r="D74" s="9">
        <v>0.47</v>
      </c>
      <c r="E74" s="8">
        <v>6</v>
      </c>
      <c r="F74" s="8">
        <v>2.2000000000000002</v>
      </c>
      <c r="G74" s="8">
        <v>846</v>
      </c>
      <c r="H74" s="9" t="s">
        <v>11</v>
      </c>
      <c r="I74" s="10" t="str" cm="1">
        <f t="array" ref="I74">_xlfn.IFS(D74&lt;20%,"Low Discount",D74&lt;40%,"Medium Discount",D74&gt;=40%,"High Discount")</f>
        <v>High Discount</v>
      </c>
    </row>
    <row r="75" spans="1:9" x14ac:dyDescent="0.3">
      <c r="A75" s="12" t="s">
        <v>87</v>
      </c>
      <c r="B75" s="11">
        <v>1570</v>
      </c>
      <c r="C75" s="11">
        <v>2988</v>
      </c>
      <c r="D75" s="12">
        <v>0.47</v>
      </c>
      <c r="E75" s="11">
        <v>7</v>
      </c>
      <c r="F75" s="11">
        <v>2.1</v>
      </c>
      <c r="G75" s="11">
        <v>1418</v>
      </c>
      <c r="H75" s="12" t="s">
        <v>11</v>
      </c>
      <c r="I75" s="13" t="str" cm="1">
        <f t="array" ref="I75">_xlfn.IFS(D75&lt;20%,"Low Discount",D75&lt;40%,"Medium Discount",D75&gt;=40%,"High Discount")</f>
        <v>High Discount</v>
      </c>
    </row>
    <row r="76" spans="1:9" x14ac:dyDescent="0.3">
      <c r="A76" s="9" t="s">
        <v>88</v>
      </c>
      <c r="B76" s="8">
        <v>790</v>
      </c>
      <c r="C76" s="8">
        <v>1485</v>
      </c>
      <c r="D76" s="9">
        <v>0.47</v>
      </c>
      <c r="E76" s="8"/>
      <c r="F76" s="8">
        <v>4</v>
      </c>
      <c r="G76" s="8">
        <v>695</v>
      </c>
      <c r="H76" s="9" t="s">
        <v>36</v>
      </c>
      <c r="I76" s="10" t="str" cm="1">
        <f t="array" ref="I76">_xlfn.IFS(D76&lt;20%,"Low Discount",D76&lt;40%,"Medium Discount",D76&gt;=40%,"High Discount")</f>
        <v>High Discount</v>
      </c>
    </row>
    <row r="77" spans="1:9" x14ac:dyDescent="0.3">
      <c r="A77" s="12" t="s">
        <v>89</v>
      </c>
      <c r="B77" s="11">
        <v>690</v>
      </c>
      <c r="C77" s="11">
        <v>1200</v>
      </c>
      <c r="D77" s="12">
        <v>0.43</v>
      </c>
      <c r="E77" s="11"/>
      <c r="F77" s="11">
        <v>4</v>
      </c>
      <c r="G77" s="11">
        <v>510</v>
      </c>
      <c r="H77" s="12" t="s">
        <v>36</v>
      </c>
      <c r="I77" s="13" t="str" cm="1">
        <f t="array" ref="I77">_xlfn.IFS(D77&lt;20%,"Low Discount",D77&lt;40%,"Medium Discount",D77&gt;=40%,"High Discount")</f>
        <v>High Discount</v>
      </c>
    </row>
    <row r="78" spans="1:9" x14ac:dyDescent="0.3">
      <c r="A78" s="9" t="s">
        <v>90</v>
      </c>
      <c r="B78" s="8">
        <v>1732</v>
      </c>
      <c r="C78" s="8">
        <v>1799</v>
      </c>
      <c r="D78" s="9">
        <v>0.04</v>
      </c>
      <c r="E78" s="8"/>
      <c r="F78" s="8">
        <v>4</v>
      </c>
      <c r="G78" s="8">
        <v>67</v>
      </c>
      <c r="H78" s="9" t="s">
        <v>36</v>
      </c>
      <c r="I78" s="10" t="str" cm="1">
        <f t="array" ref="I78">_xlfn.IFS(D78&lt;20%,"Low Discount",D78&lt;40%,"Medium Discount",D78&gt;=40%,"High Discount")</f>
        <v>Low Discount</v>
      </c>
    </row>
    <row r="79" spans="1:9" x14ac:dyDescent="0.3">
      <c r="A79" s="12" t="s">
        <v>91</v>
      </c>
      <c r="B79" s="11">
        <v>230</v>
      </c>
      <c r="C79" s="11">
        <v>450</v>
      </c>
      <c r="D79" s="12">
        <v>0.49</v>
      </c>
      <c r="E79" s="11"/>
      <c r="F79" s="11">
        <v>4</v>
      </c>
      <c r="G79" s="11">
        <v>220</v>
      </c>
      <c r="H79" s="12" t="s">
        <v>36</v>
      </c>
      <c r="I79" s="13" t="str" cm="1">
        <f t="array" ref="I79">_xlfn.IFS(D79&lt;20%,"Low Discount",D79&lt;40%,"Medium Discount",D79&gt;=40%,"High Discount")</f>
        <v>High Discount</v>
      </c>
    </row>
    <row r="80" spans="1:9" x14ac:dyDescent="0.3">
      <c r="A80" s="9" t="s">
        <v>92</v>
      </c>
      <c r="B80" s="8">
        <v>1189</v>
      </c>
      <c r="C80" s="8">
        <v>2199</v>
      </c>
      <c r="D80" s="9">
        <v>0.46</v>
      </c>
      <c r="E80" s="8">
        <v>1</v>
      </c>
      <c r="F80" s="8">
        <v>3</v>
      </c>
      <c r="G80" s="8">
        <v>1010</v>
      </c>
      <c r="H80" s="9" t="s">
        <v>13</v>
      </c>
      <c r="I80" s="10" t="str" cm="1">
        <f t="array" ref="I80">_xlfn.IFS(D80&lt;20%,"Low Discount",D80&lt;40%,"Medium Discount",D80&gt;=40%,"High Discount")</f>
        <v>High Discount</v>
      </c>
    </row>
    <row r="81" spans="1:9" x14ac:dyDescent="0.3">
      <c r="A81" s="12" t="s">
        <v>93</v>
      </c>
      <c r="B81" s="11">
        <v>979</v>
      </c>
      <c r="C81" s="11">
        <v>1920</v>
      </c>
      <c r="D81" s="12">
        <v>0.49</v>
      </c>
      <c r="E81" s="11">
        <v>1</v>
      </c>
      <c r="F81" s="11">
        <v>5</v>
      </c>
      <c r="G81" s="11">
        <v>941</v>
      </c>
      <c r="H81" s="12" t="s">
        <v>9</v>
      </c>
      <c r="I81" s="13" t="str" cm="1">
        <f t="array" ref="I81">_xlfn.IFS(D81&lt;20%,"Low Discount",D81&lt;40%,"Medium Discount",D81&gt;=40%,"High Discount")</f>
        <v>High Discount</v>
      </c>
    </row>
    <row r="82" spans="1:9" x14ac:dyDescent="0.3">
      <c r="A82" s="9" t="s">
        <v>94</v>
      </c>
      <c r="B82" s="8">
        <v>1460</v>
      </c>
      <c r="C82" s="8">
        <v>2290</v>
      </c>
      <c r="D82" s="9">
        <v>0.36</v>
      </c>
      <c r="E82" s="8"/>
      <c r="F82" s="8">
        <v>4</v>
      </c>
      <c r="G82" s="8">
        <v>830</v>
      </c>
      <c r="H82" s="9" t="s">
        <v>36</v>
      </c>
      <c r="I82" s="10" t="str" cm="1">
        <f t="array" ref="I82">_xlfn.IFS(D82&lt;20%,"Low Discount",D82&lt;40%,"Medium Discount",D82&gt;=40%,"High Discount")</f>
        <v>Medium Discount</v>
      </c>
    </row>
    <row r="83" spans="1:9" x14ac:dyDescent="0.3">
      <c r="A83" s="12" t="s">
        <v>95</v>
      </c>
      <c r="B83" s="11">
        <v>1666</v>
      </c>
      <c r="C83" s="11">
        <v>1699</v>
      </c>
      <c r="D83" s="12">
        <v>0.02</v>
      </c>
      <c r="E83" s="11"/>
      <c r="F83" s="11">
        <v>4</v>
      </c>
      <c r="G83" s="11">
        <v>33</v>
      </c>
      <c r="H83" s="12" t="s">
        <v>36</v>
      </c>
      <c r="I83" s="13" t="str" cm="1">
        <f t="array" ref="I83">_xlfn.IFS(D83&lt;20%,"Low Discount",D83&lt;40%,"Medium Discount",D83&gt;=40%,"High Discount")</f>
        <v>Low Discount</v>
      </c>
    </row>
    <row r="84" spans="1:9" x14ac:dyDescent="0.3">
      <c r="A84" s="9" t="s">
        <v>96</v>
      </c>
      <c r="B84" s="8">
        <v>330</v>
      </c>
      <c r="C84" s="8">
        <v>647</v>
      </c>
      <c r="D84" s="9">
        <v>0.49</v>
      </c>
      <c r="E84" s="8">
        <v>1</v>
      </c>
      <c r="F84" s="8">
        <v>4</v>
      </c>
      <c r="G84" s="8">
        <v>317</v>
      </c>
      <c r="H84" s="9" t="s">
        <v>13</v>
      </c>
      <c r="I84" s="10" t="str" cm="1">
        <f t="array" ref="I84">_xlfn.IFS(D84&lt;20%,"Low Discount",D84&lt;40%,"Medium Discount",D84&gt;=40%,"High Discount")</f>
        <v>High Discount</v>
      </c>
    </row>
    <row r="85" spans="1:9" x14ac:dyDescent="0.3">
      <c r="A85" s="12" t="s">
        <v>63</v>
      </c>
      <c r="B85" s="11">
        <v>176</v>
      </c>
      <c r="C85" s="11">
        <v>345</v>
      </c>
      <c r="D85" s="12">
        <v>0.49</v>
      </c>
      <c r="E85" s="11"/>
      <c r="F85" s="11">
        <v>4</v>
      </c>
      <c r="G85" s="11">
        <v>169</v>
      </c>
      <c r="H85" s="12" t="s">
        <v>36</v>
      </c>
      <c r="I85" s="13" t="str" cm="1">
        <f t="array" ref="I85">_xlfn.IFS(D85&lt;20%,"Low Discount",D85&lt;40%,"Medium Discount",D85&gt;=40%,"High Discount")</f>
        <v>High Discount</v>
      </c>
    </row>
    <row r="86" spans="1:9" x14ac:dyDescent="0.3">
      <c r="A86" s="9" t="s">
        <v>97</v>
      </c>
      <c r="B86" s="8">
        <v>1466</v>
      </c>
      <c r="C86" s="8">
        <v>1699</v>
      </c>
      <c r="D86" s="9">
        <v>0.14000000000000001</v>
      </c>
      <c r="E86" s="8"/>
      <c r="F86" s="8">
        <v>4</v>
      </c>
      <c r="G86" s="8">
        <v>233</v>
      </c>
      <c r="H86" s="9" t="s">
        <v>36</v>
      </c>
      <c r="I86" s="10" t="str" cm="1">
        <f t="array" ref="I86">_xlfn.IFS(D86&lt;20%,"Low Discount",D86&lt;40%,"Medium Discount",D86&gt;=40%,"High Discount")</f>
        <v>Low Discount</v>
      </c>
    </row>
    <row r="87" spans="1:9" x14ac:dyDescent="0.3">
      <c r="A87" s="12" t="s">
        <v>98</v>
      </c>
      <c r="B87" s="11">
        <v>274</v>
      </c>
      <c r="C87" s="11">
        <v>537</v>
      </c>
      <c r="D87" s="12">
        <v>0.49</v>
      </c>
      <c r="E87" s="11"/>
      <c r="F87" s="11">
        <v>4</v>
      </c>
      <c r="G87" s="11">
        <v>263</v>
      </c>
      <c r="H87" s="12" t="s">
        <v>36</v>
      </c>
      <c r="I87" s="13" t="str" cm="1">
        <f t="array" ref="I87">_xlfn.IFS(D87&lt;20%,"Low Discount",D87&lt;40%,"Medium Discount",D87&gt;=40%,"High Discount")</f>
        <v>High Discount</v>
      </c>
    </row>
    <row r="88" spans="1:9" x14ac:dyDescent="0.3">
      <c r="A88" s="9" t="s">
        <v>99</v>
      </c>
      <c r="B88" s="8">
        <v>799</v>
      </c>
      <c r="C88" s="8">
        <v>900</v>
      </c>
      <c r="D88" s="9">
        <v>0.11</v>
      </c>
      <c r="E88" s="8"/>
      <c r="F88" s="8">
        <v>4</v>
      </c>
      <c r="G88" s="8">
        <v>101</v>
      </c>
      <c r="H88" s="9" t="s">
        <v>36</v>
      </c>
      <c r="I88" s="10" t="str" cm="1">
        <f t="array" ref="I88">_xlfn.IFS(D88&lt;20%,"Low Discount",D88&lt;40%,"Medium Discount",D88&gt;=40%,"High Discount")</f>
        <v>Low Discount</v>
      </c>
    </row>
    <row r="89" spans="1:9" x14ac:dyDescent="0.3">
      <c r="A89" s="12" t="s">
        <v>71</v>
      </c>
      <c r="B89" s="11">
        <v>657</v>
      </c>
      <c r="C89" s="11">
        <v>1288</v>
      </c>
      <c r="D89" s="12">
        <v>0.49</v>
      </c>
      <c r="E89" s="11"/>
      <c r="F89" s="11">
        <v>4</v>
      </c>
      <c r="G89" s="11">
        <v>631</v>
      </c>
      <c r="H89" s="12" t="s">
        <v>36</v>
      </c>
      <c r="I89" s="13" t="str" cm="1">
        <f t="array" ref="I89">_xlfn.IFS(D89&lt;20%,"Low Discount",D89&lt;40%,"Medium Discount",D89&gt;=40%,"High Discount")</f>
        <v>High Discount</v>
      </c>
    </row>
    <row r="90" spans="1:9" x14ac:dyDescent="0.3">
      <c r="A90" s="9" t="s">
        <v>100</v>
      </c>
      <c r="B90" s="8">
        <v>1468</v>
      </c>
      <c r="C90" s="8">
        <v>1699</v>
      </c>
      <c r="D90" s="9">
        <v>0.14000000000000001</v>
      </c>
      <c r="E90" s="8"/>
      <c r="F90" s="8">
        <v>4</v>
      </c>
      <c r="G90" s="8">
        <v>231</v>
      </c>
      <c r="H90" s="9" t="s">
        <v>36</v>
      </c>
      <c r="I90" s="10" t="str" cm="1">
        <f t="array" ref="I90">_xlfn.IFS(D90&lt;20%,"Low Discount",D90&lt;40%,"Medium Discount",D90&gt;=40%,"High Discount")</f>
        <v>Low Discount</v>
      </c>
    </row>
    <row r="91" spans="1:9" x14ac:dyDescent="0.3">
      <c r="A91" s="12" t="s">
        <v>101</v>
      </c>
      <c r="B91" s="11">
        <v>630</v>
      </c>
      <c r="C91" s="11">
        <v>1100</v>
      </c>
      <c r="D91" s="12">
        <v>0.43</v>
      </c>
      <c r="E91" s="11"/>
      <c r="F91" s="11">
        <v>4</v>
      </c>
      <c r="G91" s="11">
        <v>470</v>
      </c>
      <c r="H91" s="12" t="s">
        <v>36</v>
      </c>
      <c r="I91" s="13" t="str" cm="1">
        <f t="array" ref="I91">_xlfn.IFS(D91&lt;20%,"Low Discount",D91&lt;40%,"Medium Discount",D91&gt;=40%,"High Discount")</f>
        <v>High Discount</v>
      </c>
    </row>
    <row r="92" spans="1:9" x14ac:dyDescent="0.3">
      <c r="A92" s="9" t="s">
        <v>102</v>
      </c>
      <c r="B92" s="8">
        <v>850</v>
      </c>
      <c r="C92" s="8">
        <v>1700</v>
      </c>
      <c r="D92" s="9">
        <v>0.5</v>
      </c>
      <c r="E92" s="8"/>
      <c r="F92" s="8">
        <v>4</v>
      </c>
      <c r="G92" s="8">
        <v>850</v>
      </c>
      <c r="H92" s="9" t="s">
        <v>36</v>
      </c>
      <c r="I92" s="10" t="str" cm="1">
        <f t="array" ref="I92">_xlfn.IFS(D92&lt;20%,"Low Discount",D92&lt;40%,"Medium Discount",D92&gt;=40%,"High Discount")</f>
        <v>High Discount</v>
      </c>
    </row>
    <row r="93" spans="1:9" x14ac:dyDescent="0.3">
      <c r="A93" s="12" t="s">
        <v>103</v>
      </c>
      <c r="B93" s="11">
        <v>1300</v>
      </c>
      <c r="C93" s="11">
        <v>2500</v>
      </c>
      <c r="D93" s="12">
        <v>0.48</v>
      </c>
      <c r="E93" s="11"/>
      <c r="F93" s="11">
        <v>4</v>
      </c>
      <c r="G93" s="11">
        <v>1200</v>
      </c>
      <c r="H93" s="12" t="s">
        <v>36</v>
      </c>
      <c r="I93" s="13" t="str" cm="1">
        <f t="array" ref="I93">_xlfn.IFS(D93&lt;20%,"Low Discount",D93&lt;40%,"Medium Discount",D93&gt;=40%,"High Discount")</f>
        <v>High Discount</v>
      </c>
    </row>
    <row r="94" spans="1:9" x14ac:dyDescent="0.3">
      <c r="A94" s="9" t="s">
        <v>104</v>
      </c>
      <c r="B94" s="8">
        <v>105</v>
      </c>
      <c r="C94" s="8">
        <v>200</v>
      </c>
      <c r="D94" s="9">
        <v>0.48</v>
      </c>
      <c r="E94" s="8"/>
      <c r="F94" s="8">
        <v>4</v>
      </c>
      <c r="G94" s="8">
        <v>95</v>
      </c>
      <c r="H94" s="9" t="s">
        <v>36</v>
      </c>
      <c r="I94" s="10" t="str" cm="1">
        <f t="array" ref="I94">_xlfn.IFS(D94&lt;20%,"Low Discount",D94&lt;40%,"Medium Discount",D94&gt;=40%,"High Discount")</f>
        <v>High Discount</v>
      </c>
    </row>
    <row r="95" spans="1:9" x14ac:dyDescent="0.3">
      <c r="A95" s="12" t="s">
        <v>105</v>
      </c>
      <c r="B95" s="11">
        <v>899</v>
      </c>
      <c r="C95" s="11">
        <v>1699</v>
      </c>
      <c r="D95" s="12">
        <v>0.47</v>
      </c>
      <c r="E95" s="11"/>
      <c r="F95" s="11">
        <v>4</v>
      </c>
      <c r="G95" s="11">
        <v>800</v>
      </c>
      <c r="H95" s="12" t="s">
        <v>36</v>
      </c>
      <c r="I95" s="13" t="str" cm="1">
        <f t="array" ref="I95">_xlfn.IFS(D95&lt;20%,"Low Discount",D95&lt;40%,"Medium Discount",D95&gt;=40%,"High Discount")</f>
        <v>High Discount</v>
      </c>
    </row>
    <row r="96" spans="1:9" x14ac:dyDescent="0.3">
      <c r="A96" s="9" t="s">
        <v>106</v>
      </c>
      <c r="B96" s="8">
        <v>1200</v>
      </c>
      <c r="C96" s="8">
        <v>2400</v>
      </c>
      <c r="D96" s="9">
        <v>0.5</v>
      </c>
      <c r="E96" s="8"/>
      <c r="F96" s="8">
        <v>4</v>
      </c>
      <c r="G96" s="8">
        <v>1200</v>
      </c>
      <c r="H96" s="9" t="s">
        <v>36</v>
      </c>
      <c r="I96" s="10" t="str" cm="1">
        <f t="array" ref="I96">_xlfn.IFS(D96&lt;20%,"Low Discount",D96&lt;40%,"Medium Discount",D96&gt;=40%,"High Discount")</f>
        <v>High Discount</v>
      </c>
    </row>
    <row r="97" spans="1:9" x14ac:dyDescent="0.3">
      <c r="A97" s="12" t="s">
        <v>107</v>
      </c>
      <c r="B97" s="11">
        <v>1526</v>
      </c>
      <c r="C97" s="11">
        <v>1660</v>
      </c>
      <c r="D97" s="12">
        <v>0.08</v>
      </c>
      <c r="E97" s="11"/>
      <c r="F97" s="11">
        <v>4</v>
      </c>
      <c r="G97" s="11">
        <v>134</v>
      </c>
      <c r="H97" s="12" t="s">
        <v>36</v>
      </c>
      <c r="I97" s="13" t="str" cm="1">
        <f t="array" ref="I97">_xlfn.IFS(D97&lt;20%,"Low Discount",D97&lt;40%,"Medium Discount",D97&gt;=40%,"High Discount")</f>
        <v>Low Discount</v>
      </c>
    </row>
    <row r="98" spans="1:9" x14ac:dyDescent="0.3">
      <c r="A98" s="9" t="s">
        <v>108</v>
      </c>
      <c r="B98" s="8">
        <v>1462</v>
      </c>
      <c r="C98" s="8">
        <v>1499</v>
      </c>
      <c r="D98" s="9">
        <v>0.02</v>
      </c>
      <c r="E98" s="8"/>
      <c r="F98" s="8">
        <v>4</v>
      </c>
      <c r="G98" s="8">
        <v>37</v>
      </c>
      <c r="H98" s="9" t="s">
        <v>36</v>
      </c>
      <c r="I98" s="10" t="str" cm="1">
        <f t="array" ref="I98">_xlfn.IFS(D98&lt;20%,"Low Discount",D98&lt;40%,"Medium Discount",D98&gt;=40%,"High Discount")</f>
        <v>Low Discount</v>
      </c>
    </row>
    <row r="99" spans="1:9" x14ac:dyDescent="0.3">
      <c r="A99" s="12" t="s">
        <v>109</v>
      </c>
      <c r="B99" s="11">
        <v>248</v>
      </c>
      <c r="C99" s="11">
        <v>486</v>
      </c>
      <c r="D99" s="12">
        <v>0.49</v>
      </c>
      <c r="E99" s="11"/>
      <c r="F99" s="11">
        <v>4</v>
      </c>
      <c r="G99" s="11">
        <v>238</v>
      </c>
      <c r="H99" s="12" t="s">
        <v>36</v>
      </c>
      <c r="I99" s="13" t="str" cm="1">
        <f t="array" ref="I99">_xlfn.IFS(D99&lt;20%,"Low Discount",D99&lt;40%,"Medium Discount",D99&gt;=40%,"High Discount")</f>
        <v>High Discount</v>
      </c>
    </row>
    <row r="100" spans="1:9" x14ac:dyDescent="0.3">
      <c r="A100" s="9" t="s">
        <v>110</v>
      </c>
      <c r="B100" s="8">
        <v>3546</v>
      </c>
      <c r="C100" s="8">
        <v>3699</v>
      </c>
      <c r="D100" s="9">
        <v>0.04</v>
      </c>
      <c r="E100" s="8"/>
      <c r="F100" s="8">
        <v>4</v>
      </c>
      <c r="G100" s="8">
        <v>153</v>
      </c>
      <c r="H100" s="9" t="s">
        <v>36</v>
      </c>
      <c r="I100" s="10" t="str" cm="1">
        <f t="array" ref="I100">_xlfn.IFS(D100&lt;20%,"Low Discount",D100&lt;40%,"Medium Discount",D100&gt;=40%,"High Discount")</f>
        <v>Low Discount</v>
      </c>
    </row>
    <row r="101" spans="1:9" x14ac:dyDescent="0.3">
      <c r="A101" s="12" t="s">
        <v>111</v>
      </c>
      <c r="B101" s="11">
        <v>525</v>
      </c>
      <c r="C101" s="11">
        <v>1029</v>
      </c>
      <c r="D101" s="12">
        <v>0.49</v>
      </c>
      <c r="E101" s="11"/>
      <c r="F101" s="11">
        <v>4</v>
      </c>
      <c r="G101" s="11">
        <v>504</v>
      </c>
      <c r="H101" s="12" t="s">
        <v>36</v>
      </c>
      <c r="I101" s="13" t="str" cm="1">
        <f t="array" ref="I101">_xlfn.IFS(D101&lt;20%,"Low Discount",D101&lt;40%,"Medium Discount",D101&gt;=40%,"High Discount")</f>
        <v>High Discount</v>
      </c>
    </row>
    <row r="102" spans="1:9" x14ac:dyDescent="0.3">
      <c r="A102" s="9" t="s">
        <v>112</v>
      </c>
      <c r="B102" s="8">
        <v>1080</v>
      </c>
      <c r="C102" s="8">
        <v>1874</v>
      </c>
      <c r="D102" s="9">
        <v>0.42</v>
      </c>
      <c r="E102" s="8"/>
      <c r="F102" s="8">
        <v>4</v>
      </c>
      <c r="G102" s="8">
        <v>794</v>
      </c>
      <c r="H102" s="9" t="s">
        <v>36</v>
      </c>
      <c r="I102" s="10" t="str" cm="1">
        <f t="array" ref="I102">_xlfn.IFS(D102&lt;20%,"Low Discount",D102&lt;40%,"Medium Discount",D102&gt;=40%,"High Discount")</f>
        <v>High Discount</v>
      </c>
    </row>
    <row r="103" spans="1:9" x14ac:dyDescent="0.3">
      <c r="A103" s="12" t="s">
        <v>113</v>
      </c>
      <c r="B103" s="11">
        <v>3640</v>
      </c>
      <c r="C103" s="11">
        <v>4588</v>
      </c>
      <c r="D103" s="12">
        <v>0.21</v>
      </c>
      <c r="E103" s="11">
        <v>1</v>
      </c>
      <c r="F103" s="11">
        <v>5</v>
      </c>
      <c r="G103" s="11">
        <v>948</v>
      </c>
      <c r="H103" s="12" t="s">
        <v>9</v>
      </c>
      <c r="I103" s="13" t="str" cm="1">
        <f t="array" ref="I103">_xlfn.IFS(D103&lt;20%,"Low Discount",D103&lt;40%,"Medium Discount",D103&gt;=40%,"High Discount")</f>
        <v>Medium Discount</v>
      </c>
    </row>
    <row r="104" spans="1:9" x14ac:dyDescent="0.3">
      <c r="A104" s="9" t="s">
        <v>114</v>
      </c>
      <c r="B104" s="8">
        <v>1420</v>
      </c>
      <c r="C104" s="8">
        <v>2420</v>
      </c>
      <c r="D104" s="9">
        <v>0.41</v>
      </c>
      <c r="E104" s="8"/>
      <c r="F104" s="8">
        <v>4</v>
      </c>
      <c r="G104" s="8">
        <v>1000</v>
      </c>
      <c r="H104" s="9" t="s">
        <v>36</v>
      </c>
      <c r="I104" s="10" t="str" cm="1">
        <f t="array" ref="I104">_xlfn.IFS(D104&lt;20%,"Low Discount",D104&lt;40%,"Medium Discount",D104&gt;=40%,"High Discount")</f>
        <v>High Discount</v>
      </c>
    </row>
    <row r="105" spans="1:9" x14ac:dyDescent="0.3">
      <c r="A105" s="12" t="s">
        <v>115</v>
      </c>
      <c r="B105" s="11">
        <v>1875</v>
      </c>
      <c r="C105" s="11">
        <v>1899</v>
      </c>
      <c r="D105" s="12">
        <v>0.01</v>
      </c>
      <c r="E105" s="11"/>
      <c r="F105" s="11">
        <v>4</v>
      </c>
      <c r="G105" s="11">
        <v>24</v>
      </c>
      <c r="H105" s="12" t="s">
        <v>36</v>
      </c>
      <c r="I105" s="13" t="str" cm="1">
        <f t="array" ref="I105">_xlfn.IFS(D105&lt;20%,"Low Discount",D105&lt;40%,"Medium Discount",D105&gt;=40%,"High Discount")</f>
        <v>Low Discount</v>
      </c>
    </row>
    <row r="106" spans="1:9" x14ac:dyDescent="0.3">
      <c r="A106" s="9" t="s">
        <v>116</v>
      </c>
      <c r="B106" s="8">
        <v>198</v>
      </c>
      <c r="C106" s="8">
        <v>260</v>
      </c>
      <c r="D106" s="9">
        <v>0.24</v>
      </c>
      <c r="E106" s="8"/>
      <c r="F106" s="8">
        <v>4</v>
      </c>
      <c r="G106" s="8">
        <v>62</v>
      </c>
      <c r="H106" s="9" t="s">
        <v>36</v>
      </c>
      <c r="I106" s="10" t="str" cm="1">
        <f t="array" ref="I106">_xlfn.IFS(D106&lt;20%,"Low Discount",D106&lt;40%,"Medium Discount",D106&gt;=40%,"High Discount")</f>
        <v>Medium Discount</v>
      </c>
    </row>
    <row r="107" spans="1:9" x14ac:dyDescent="0.3">
      <c r="A107" s="12" t="s">
        <v>117</v>
      </c>
      <c r="B107" s="11">
        <v>1150</v>
      </c>
      <c r="C107" s="11">
        <v>1737</v>
      </c>
      <c r="D107" s="12">
        <v>0.34</v>
      </c>
      <c r="E107" s="11"/>
      <c r="F107" s="11">
        <v>4</v>
      </c>
      <c r="G107" s="11">
        <v>587</v>
      </c>
      <c r="H107" s="12" t="s">
        <v>36</v>
      </c>
      <c r="I107" s="13" t="str" cm="1">
        <f t="array" ref="I107">_xlfn.IFS(D107&lt;20%,"Low Discount",D107&lt;40%,"Medium Discount",D107&gt;=40%,"High Discount")</f>
        <v>Medium Discount</v>
      </c>
    </row>
    <row r="108" spans="1:9" x14ac:dyDescent="0.3">
      <c r="A108" s="9" t="s">
        <v>118</v>
      </c>
      <c r="B108" s="8">
        <v>1190</v>
      </c>
      <c r="C108" s="8">
        <v>1810</v>
      </c>
      <c r="D108" s="9">
        <v>0.34</v>
      </c>
      <c r="E108" s="8"/>
      <c r="F108" s="8">
        <v>4</v>
      </c>
      <c r="G108" s="8">
        <v>620</v>
      </c>
      <c r="H108" s="9" t="s">
        <v>36</v>
      </c>
      <c r="I108" s="10" t="str" cm="1">
        <f t="array" ref="I108">_xlfn.IFS(D108&lt;20%,"Low Discount",D108&lt;40%,"Medium Discount",D108&gt;=40%,"High Discount")</f>
        <v>Medium Discount</v>
      </c>
    </row>
    <row r="109" spans="1:9" x14ac:dyDescent="0.3">
      <c r="A109" s="12" t="s">
        <v>119</v>
      </c>
      <c r="B109" s="11">
        <v>1658</v>
      </c>
      <c r="C109" s="11">
        <v>1699</v>
      </c>
      <c r="D109" s="12">
        <v>0.02</v>
      </c>
      <c r="E109" s="11"/>
      <c r="F109" s="11">
        <v>4</v>
      </c>
      <c r="G109" s="11">
        <v>41</v>
      </c>
      <c r="H109" s="12" t="s">
        <v>36</v>
      </c>
      <c r="I109" s="13" t="str" cm="1">
        <f t="array" ref="I109">_xlfn.IFS(D109&lt;20%,"Low Discount",D109&lt;40%,"Medium Discount",D109&gt;=40%,"High Discount")</f>
        <v>Low Discount</v>
      </c>
    </row>
    <row r="110" spans="1:9" x14ac:dyDescent="0.3">
      <c r="A110" s="9" t="s">
        <v>120</v>
      </c>
      <c r="B110" s="8">
        <v>1768</v>
      </c>
      <c r="C110" s="8">
        <v>1799</v>
      </c>
      <c r="D110" s="9">
        <v>0.02</v>
      </c>
      <c r="E110" s="8"/>
      <c r="F110" s="8">
        <v>4</v>
      </c>
      <c r="G110" s="8">
        <v>31</v>
      </c>
      <c r="H110" s="9" t="s">
        <v>36</v>
      </c>
      <c r="I110" s="10" t="str" cm="1">
        <f t="array" ref="I110">_xlfn.IFS(D110&lt;20%,"Low Discount",D110&lt;40%,"Medium Discount",D110&gt;=40%,"High Discount")</f>
        <v>Low Discount</v>
      </c>
    </row>
    <row r="111" spans="1:9" x14ac:dyDescent="0.3">
      <c r="A111" s="12" t="s">
        <v>121</v>
      </c>
      <c r="B111" s="11">
        <v>199</v>
      </c>
      <c r="C111" s="11">
        <v>553</v>
      </c>
      <c r="D111" s="12">
        <v>0.64</v>
      </c>
      <c r="E111" s="11"/>
      <c r="F111" s="11">
        <v>4</v>
      </c>
      <c r="G111" s="11">
        <v>354</v>
      </c>
      <c r="H111" s="12" t="s">
        <v>36</v>
      </c>
      <c r="I111" s="13" t="str" cm="1">
        <f t="array" ref="I111">_xlfn.IFS(D111&lt;20%,"Low Discount",D111&lt;40%,"Medium Discount",D111&gt;=40%,"High Discount")</f>
        <v>High Discount</v>
      </c>
    </row>
    <row r="112" spans="1:9" x14ac:dyDescent="0.3">
      <c r="A112" s="9" t="s">
        <v>122</v>
      </c>
      <c r="B112" s="8">
        <v>450</v>
      </c>
      <c r="C112" s="8">
        <v>900</v>
      </c>
      <c r="D112" s="9">
        <v>0.5</v>
      </c>
      <c r="E112" s="8">
        <v>1</v>
      </c>
      <c r="F112" s="8">
        <v>2</v>
      </c>
      <c r="G112" s="8">
        <v>450</v>
      </c>
      <c r="H112" s="9" t="s">
        <v>11</v>
      </c>
      <c r="I112" s="10" t="str" cm="1">
        <f t="array" ref="I112">_xlfn.IFS(D112&lt;20%,"Low Discount",D112&lt;40%,"Medium Discount",D112&gt;=40%,"High Discount")</f>
        <v>High Discount</v>
      </c>
    </row>
    <row r="113" spans="1:9" x14ac:dyDescent="0.3">
      <c r="A113" s="12" t="s">
        <v>123</v>
      </c>
      <c r="B113" s="11">
        <v>169</v>
      </c>
      <c r="C113" s="11">
        <v>320</v>
      </c>
      <c r="D113" s="12">
        <v>0.47</v>
      </c>
      <c r="E113" s="11"/>
      <c r="F113" s="11">
        <v>4</v>
      </c>
      <c r="G113" s="11">
        <v>151</v>
      </c>
      <c r="H113" s="12" t="s">
        <v>36</v>
      </c>
      <c r="I113" s="13" t="str" cm="1">
        <f t="array" ref="I113">_xlfn.IFS(D113&lt;20%,"Low Discount",D113&lt;40%,"Medium Discount",D113&gt;=40%,"High Discount")</f>
        <v>High Discount</v>
      </c>
    </row>
    <row r="114" spans="1:9" x14ac:dyDescent="0.3">
      <c r="A114" s="12"/>
      <c r="B114" s="11"/>
      <c r="C114" s="11"/>
      <c r="D114" s="12"/>
      <c r="E114" s="11"/>
      <c r="F114" s="11"/>
      <c r="G114" s="11"/>
      <c r="H114" s="12"/>
      <c r="I114" s="13"/>
    </row>
    <row r="116" spans="1:9" x14ac:dyDescent="0.3">
      <c r="A116" t="s">
        <v>13</v>
      </c>
      <c r="B116" s="3">
        <v>1189</v>
      </c>
      <c r="C116" s="3">
        <v>1816</v>
      </c>
      <c r="D116" s="1">
        <v>0.37</v>
      </c>
      <c r="E116" s="3">
        <v>12</v>
      </c>
      <c r="F116" s="3">
        <f>AVERAGE(F2:F113)</f>
        <v>3.9437500000000005</v>
      </c>
      <c r="G116" s="3">
        <v>627</v>
      </c>
    </row>
    <row r="117" spans="1:9" x14ac:dyDescent="0.3">
      <c r="A117" t="s">
        <v>124</v>
      </c>
    </row>
    <row r="118" spans="1:9" x14ac:dyDescent="0.3">
      <c r="A118" t="s">
        <v>125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3A68-1AAE-435F-83C6-78665FBB2808}">
  <dimension ref="A1:D113"/>
  <sheetViews>
    <sheetView workbookViewId="0">
      <selection activeCell="I20" sqref="I20"/>
    </sheetView>
  </sheetViews>
  <sheetFormatPr defaultRowHeight="14.4" x14ac:dyDescent="0.3"/>
  <cols>
    <col min="1" max="1" width="10.21875" style="1" customWidth="1"/>
    <col min="3" max="3" width="9" customWidth="1"/>
    <col min="4" max="4" width="13.77734375" style="3" customWidth="1"/>
  </cols>
  <sheetData>
    <row r="1" spans="1:4" x14ac:dyDescent="0.3">
      <c r="A1" s="15" t="s">
        <v>3</v>
      </c>
      <c r="B1" s="16" t="s">
        <v>4</v>
      </c>
      <c r="C1" s="16" t="s">
        <v>5</v>
      </c>
      <c r="D1" s="17" t="s">
        <v>1</v>
      </c>
    </row>
    <row r="2" spans="1:4" x14ac:dyDescent="0.3">
      <c r="A2" s="18">
        <v>0.38</v>
      </c>
      <c r="B2" s="10">
        <v>2</v>
      </c>
      <c r="C2" s="10">
        <v>4.5</v>
      </c>
      <c r="D2" s="19">
        <v>950</v>
      </c>
    </row>
    <row r="3" spans="1:4" x14ac:dyDescent="0.3">
      <c r="A3" s="20">
        <v>0.47</v>
      </c>
      <c r="B3" s="13">
        <v>14</v>
      </c>
      <c r="C3" s="13">
        <v>4.0999999999999996</v>
      </c>
      <c r="D3" s="21">
        <v>527</v>
      </c>
    </row>
    <row r="4" spans="1:4" x14ac:dyDescent="0.3">
      <c r="A4" s="18">
        <v>0.25</v>
      </c>
      <c r="B4" s="10">
        <v>24</v>
      </c>
      <c r="C4" s="10">
        <v>4.5999999999999996</v>
      </c>
      <c r="D4" s="19">
        <v>2199</v>
      </c>
    </row>
    <row r="5" spans="1:4" x14ac:dyDescent="0.3">
      <c r="A5" s="20">
        <v>0.37</v>
      </c>
      <c r="B5" s="13">
        <v>7</v>
      </c>
      <c r="C5" s="13">
        <v>4.7</v>
      </c>
      <c r="D5" s="21">
        <v>1580</v>
      </c>
    </row>
    <row r="6" spans="1:4" x14ac:dyDescent="0.3">
      <c r="A6" s="18">
        <v>0.26</v>
      </c>
      <c r="B6" s="10">
        <v>5</v>
      </c>
      <c r="C6" s="10">
        <v>4.8</v>
      </c>
      <c r="D6" s="19">
        <v>1740</v>
      </c>
    </row>
    <row r="7" spans="1:4" x14ac:dyDescent="0.3">
      <c r="A7" s="20">
        <v>0.09</v>
      </c>
      <c r="B7" s="13">
        <v>15</v>
      </c>
      <c r="C7" s="13">
        <v>4</v>
      </c>
      <c r="D7" s="21">
        <v>2999</v>
      </c>
    </row>
    <row r="8" spans="1:4" x14ac:dyDescent="0.3">
      <c r="A8" s="18">
        <v>0.24</v>
      </c>
      <c r="B8" s="10">
        <v>55</v>
      </c>
      <c r="C8" s="10">
        <v>4.5999999999999996</v>
      </c>
      <c r="D8" s="19">
        <v>2319</v>
      </c>
    </row>
    <row r="9" spans="1:4" x14ac:dyDescent="0.3">
      <c r="A9" s="20">
        <v>0.37</v>
      </c>
      <c r="B9" s="13">
        <v>2</v>
      </c>
      <c r="C9" s="13">
        <v>4</v>
      </c>
      <c r="D9" s="21">
        <v>988</v>
      </c>
    </row>
    <row r="10" spans="1:4" x14ac:dyDescent="0.3">
      <c r="A10" s="18">
        <v>0.55000000000000004</v>
      </c>
      <c r="B10" s="10">
        <v>5</v>
      </c>
      <c r="C10" s="10">
        <v>4.8</v>
      </c>
      <c r="D10" s="19">
        <v>1274</v>
      </c>
    </row>
    <row r="11" spans="1:4" x14ac:dyDescent="0.3">
      <c r="A11" s="20">
        <v>0.45</v>
      </c>
      <c r="B11" s="13">
        <v>5</v>
      </c>
      <c r="C11" s="13">
        <v>3.8</v>
      </c>
      <c r="D11" s="21">
        <v>1600</v>
      </c>
    </row>
    <row r="12" spans="1:4" x14ac:dyDescent="0.3">
      <c r="A12" s="18">
        <v>0.2</v>
      </c>
      <c r="B12" s="10">
        <v>12</v>
      </c>
      <c r="C12" s="10">
        <v>4.0999999999999996</v>
      </c>
      <c r="D12" s="19">
        <v>799</v>
      </c>
    </row>
    <row r="13" spans="1:4" x14ac:dyDescent="0.3">
      <c r="A13" s="20">
        <v>0.34</v>
      </c>
      <c r="B13" s="13">
        <v>39</v>
      </c>
      <c r="C13" s="13">
        <v>4.7</v>
      </c>
      <c r="D13" s="21">
        <v>990</v>
      </c>
    </row>
    <row r="14" spans="1:4" x14ac:dyDescent="0.3">
      <c r="A14" s="18">
        <v>0.47</v>
      </c>
      <c r="B14" s="10">
        <v>12</v>
      </c>
      <c r="C14" s="10">
        <v>4.8</v>
      </c>
      <c r="D14" s="19">
        <v>552</v>
      </c>
    </row>
    <row r="15" spans="1:4" x14ac:dyDescent="0.3">
      <c r="A15" s="20">
        <v>0.42</v>
      </c>
      <c r="B15" s="13">
        <v>6</v>
      </c>
      <c r="C15" s="13">
        <v>4.5</v>
      </c>
      <c r="D15" s="21">
        <v>501</v>
      </c>
    </row>
    <row r="16" spans="1:4" x14ac:dyDescent="0.3">
      <c r="A16" s="18">
        <v>0.33</v>
      </c>
      <c r="B16" s="10">
        <v>9</v>
      </c>
      <c r="C16" s="10">
        <v>4.2</v>
      </c>
      <c r="D16" s="19">
        <v>1680</v>
      </c>
    </row>
    <row r="17" spans="1:4" x14ac:dyDescent="0.3">
      <c r="A17" s="20">
        <v>0.51</v>
      </c>
      <c r="B17" s="13">
        <v>2</v>
      </c>
      <c r="C17" s="13">
        <v>5</v>
      </c>
      <c r="D17" s="21">
        <v>332</v>
      </c>
    </row>
    <row r="18" spans="1:4" x14ac:dyDescent="0.3">
      <c r="A18" s="18">
        <v>0.46</v>
      </c>
      <c r="B18" s="10">
        <v>2</v>
      </c>
      <c r="C18" s="10">
        <v>5</v>
      </c>
      <c r="D18" s="19">
        <v>195</v>
      </c>
    </row>
    <row r="19" spans="1:4" x14ac:dyDescent="0.3">
      <c r="A19" s="20">
        <v>0.49</v>
      </c>
      <c r="B19" s="13">
        <v>3</v>
      </c>
      <c r="C19" s="13">
        <v>5</v>
      </c>
      <c r="D19" s="21">
        <v>2025</v>
      </c>
    </row>
    <row r="20" spans="1:4" x14ac:dyDescent="0.3">
      <c r="A20" s="18">
        <v>0.19</v>
      </c>
      <c r="B20" s="10">
        <v>5</v>
      </c>
      <c r="C20" s="10">
        <v>4.5999999999999996</v>
      </c>
      <c r="D20" s="19">
        <v>2999</v>
      </c>
    </row>
    <row r="21" spans="1:4" x14ac:dyDescent="0.3">
      <c r="A21" s="20">
        <v>0.49</v>
      </c>
      <c r="B21" s="13">
        <v>44</v>
      </c>
      <c r="C21" s="13">
        <v>4.5999999999999996</v>
      </c>
      <c r="D21" s="21">
        <v>998</v>
      </c>
    </row>
    <row r="22" spans="1:4" x14ac:dyDescent="0.3">
      <c r="A22" s="18">
        <v>0.53</v>
      </c>
      <c r="B22" s="10">
        <v>13</v>
      </c>
      <c r="C22" s="10">
        <v>3.3</v>
      </c>
      <c r="D22" s="19">
        <v>38</v>
      </c>
    </row>
    <row r="23" spans="1:4" x14ac:dyDescent="0.3">
      <c r="A23" s="20">
        <v>0.42</v>
      </c>
      <c r="B23" s="13"/>
      <c r="C23" s="13"/>
      <c r="D23" s="21">
        <v>1860</v>
      </c>
    </row>
    <row r="24" spans="1:4" x14ac:dyDescent="0.3">
      <c r="A24" s="18">
        <v>0.35</v>
      </c>
      <c r="B24" s="10">
        <v>6</v>
      </c>
      <c r="C24" s="10">
        <v>4</v>
      </c>
      <c r="D24" s="19">
        <v>880</v>
      </c>
    </row>
    <row r="25" spans="1:4" x14ac:dyDescent="0.3">
      <c r="A25" s="20">
        <v>0.23</v>
      </c>
      <c r="B25" s="13">
        <v>14</v>
      </c>
      <c r="C25" s="13">
        <v>4.4000000000000004</v>
      </c>
      <c r="D25" s="21">
        <v>1650</v>
      </c>
    </row>
    <row r="26" spans="1:4" x14ac:dyDescent="0.3">
      <c r="A26" s="18">
        <v>0.54</v>
      </c>
      <c r="B26" s="10">
        <v>7</v>
      </c>
      <c r="C26" s="10">
        <v>4.3</v>
      </c>
      <c r="D26" s="19">
        <v>2048</v>
      </c>
    </row>
    <row r="27" spans="1:4" x14ac:dyDescent="0.3">
      <c r="A27" s="20">
        <v>0.35</v>
      </c>
      <c r="B27" s="13">
        <v>49</v>
      </c>
      <c r="C27" s="13">
        <v>4.5999999999999996</v>
      </c>
      <c r="D27" s="21">
        <v>420</v>
      </c>
    </row>
    <row r="28" spans="1:4" x14ac:dyDescent="0.3">
      <c r="A28" s="18">
        <v>0.18</v>
      </c>
      <c r="B28" s="10">
        <v>12</v>
      </c>
      <c r="C28" s="10">
        <v>3.8</v>
      </c>
      <c r="D28" s="19">
        <v>2880</v>
      </c>
    </row>
    <row r="29" spans="1:4" x14ac:dyDescent="0.3">
      <c r="A29" s="20">
        <v>0.32</v>
      </c>
      <c r="B29" s="13">
        <v>13</v>
      </c>
      <c r="C29" s="13">
        <v>3.8</v>
      </c>
      <c r="D29" s="21">
        <v>1350</v>
      </c>
    </row>
    <row r="30" spans="1:4" x14ac:dyDescent="0.3">
      <c r="A30" s="18">
        <v>0.3</v>
      </c>
      <c r="B30" s="10">
        <v>2</v>
      </c>
      <c r="C30" s="10">
        <v>4.0999999999999996</v>
      </c>
      <c r="D30" s="19">
        <v>1758</v>
      </c>
    </row>
    <row r="31" spans="1:4" x14ac:dyDescent="0.3">
      <c r="A31" s="20">
        <v>0.46</v>
      </c>
      <c r="B31" s="13"/>
      <c r="C31" s="13"/>
      <c r="D31" s="21">
        <v>2200</v>
      </c>
    </row>
    <row r="32" spans="1:4" x14ac:dyDescent="0.3">
      <c r="A32" s="18">
        <v>0.52</v>
      </c>
      <c r="B32" s="10">
        <v>9</v>
      </c>
      <c r="C32" s="10">
        <v>4.3</v>
      </c>
      <c r="D32" s="19">
        <v>185</v>
      </c>
    </row>
    <row r="33" spans="1:4" x14ac:dyDescent="0.3">
      <c r="A33" s="20">
        <v>0.34</v>
      </c>
      <c r="B33" s="13">
        <v>12</v>
      </c>
      <c r="C33" s="13">
        <v>4.7</v>
      </c>
      <c r="D33" s="21">
        <v>980</v>
      </c>
    </row>
    <row r="34" spans="1:4" x14ac:dyDescent="0.3">
      <c r="A34" s="18">
        <v>0.48</v>
      </c>
      <c r="B34" s="10">
        <v>9</v>
      </c>
      <c r="C34" s="10">
        <v>4.3</v>
      </c>
      <c r="D34" s="19">
        <v>1820</v>
      </c>
    </row>
    <row r="35" spans="1:4" x14ac:dyDescent="0.3">
      <c r="A35" s="20">
        <v>0.27</v>
      </c>
      <c r="B35" s="13">
        <v>2</v>
      </c>
      <c r="C35" s="13">
        <v>4.7</v>
      </c>
      <c r="D35" s="21">
        <v>1940</v>
      </c>
    </row>
    <row r="36" spans="1:4" x14ac:dyDescent="0.3">
      <c r="A36" s="18">
        <v>0.27</v>
      </c>
      <c r="B36" s="10">
        <v>32</v>
      </c>
      <c r="C36" s="10">
        <v>4.5</v>
      </c>
      <c r="D36" s="19">
        <v>1980</v>
      </c>
    </row>
    <row r="37" spans="1:4" x14ac:dyDescent="0.3">
      <c r="A37" s="20">
        <v>0.4</v>
      </c>
      <c r="B37" s="13">
        <v>1</v>
      </c>
      <c r="C37" s="13">
        <v>5</v>
      </c>
      <c r="D37" s="21">
        <v>1620</v>
      </c>
    </row>
    <row r="38" spans="1:4" x14ac:dyDescent="0.3">
      <c r="A38" s="18">
        <v>0.53</v>
      </c>
      <c r="B38" s="10">
        <v>2</v>
      </c>
      <c r="C38" s="10">
        <v>5</v>
      </c>
      <c r="D38" s="19">
        <v>171</v>
      </c>
    </row>
    <row r="39" spans="1:4" x14ac:dyDescent="0.3">
      <c r="A39" s="20">
        <v>0.41</v>
      </c>
      <c r="B39" s="13">
        <v>36</v>
      </c>
      <c r="C39" s="13">
        <v>4.3</v>
      </c>
      <c r="D39" s="21">
        <v>389</v>
      </c>
    </row>
    <row r="40" spans="1:4" x14ac:dyDescent="0.3">
      <c r="A40" s="18">
        <v>0.38</v>
      </c>
      <c r="B40" s="10">
        <v>2</v>
      </c>
      <c r="C40" s="10">
        <v>4.5</v>
      </c>
      <c r="D40" s="19">
        <v>1980</v>
      </c>
    </row>
    <row r="41" spans="1:4" x14ac:dyDescent="0.3">
      <c r="A41" s="20">
        <v>0.38</v>
      </c>
      <c r="B41" s="13"/>
      <c r="C41" s="13"/>
      <c r="D41" s="21">
        <v>2750</v>
      </c>
    </row>
    <row r="42" spans="1:4" x14ac:dyDescent="0.3">
      <c r="A42" s="18">
        <v>0.49</v>
      </c>
      <c r="B42" s="10"/>
      <c r="C42" s="10"/>
      <c r="D42" s="19">
        <v>475</v>
      </c>
    </row>
    <row r="43" spans="1:4" x14ac:dyDescent="0.3">
      <c r="A43" s="20">
        <v>0.5</v>
      </c>
      <c r="B43" s="13"/>
      <c r="C43" s="13"/>
      <c r="D43" s="21">
        <v>238</v>
      </c>
    </row>
    <row r="44" spans="1:4" x14ac:dyDescent="0.3">
      <c r="A44" s="18">
        <v>0.42</v>
      </c>
      <c r="B44" s="10"/>
      <c r="C44" s="10"/>
      <c r="D44" s="19">
        <v>610</v>
      </c>
    </row>
    <row r="45" spans="1:4" x14ac:dyDescent="0.3">
      <c r="A45" s="20">
        <v>0.02</v>
      </c>
      <c r="B45" s="13"/>
      <c r="C45" s="13"/>
      <c r="D45" s="21">
        <v>2132</v>
      </c>
    </row>
    <row r="46" spans="1:4" x14ac:dyDescent="0.3">
      <c r="A46" s="18">
        <v>0.5</v>
      </c>
      <c r="B46" s="10"/>
      <c r="C46" s="10"/>
      <c r="D46" s="19">
        <v>999</v>
      </c>
    </row>
    <row r="47" spans="1:4" x14ac:dyDescent="0.3">
      <c r="A47" s="20">
        <v>0.33</v>
      </c>
      <c r="B47" s="13"/>
      <c r="C47" s="13"/>
      <c r="D47" s="21">
        <v>1190</v>
      </c>
    </row>
    <row r="48" spans="1:4" x14ac:dyDescent="0.3">
      <c r="A48" s="18">
        <v>0.49</v>
      </c>
      <c r="B48" s="10"/>
      <c r="C48" s="10"/>
      <c r="D48" s="19">
        <v>671</v>
      </c>
    </row>
    <row r="49" spans="1:4" x14ac:dyDescent="0.3">
      <c r="A49" s="20">
        <v>0.38</v>
      </c>
      <c r="B49" s="13"/>
      <c r="C49" s="13"/>
      <c r="D49" s="21">
        <v>1200</v>
      </c>
    </row>
    <row r="50" spans="1:4" x14ac:dyDescent="0.3">
      <c r="A50" s="18">
        <v>0.61</v>
      </c>
      <c r="B50" s="10"/>
      <c r="C50" s="10"/>
      <c r="D50" s="19">
        <v>199</v>
      </c>
    </row>
    <row r="51" spans="1:4" x14ac:dyDescent="0.3">
      <c r="A51" s="20">
        <v>0.5</v>
      </c>
      <c r="B51" s="13"/>
      <c r="C51" s="13"/>
      <c r="D51" s="21">
        <v>299</v>
      </c>
    </row>
    <row r="52" spans="1:4" x14ac:dyDescent="0.3">
      <c r="A52" s="18">
        <v>0.02</v>
      </c>
      <c r="B52" s="10"/>
      <c r="C52" s="10"/>
      <c r="D52" s="19">
        <v>1660</v>
      </c>
    </row>
    <row r="53" spans="1:4" x14ac:dyDescent="0.3">
      <c r="A53" s="20">
        <v>0.22</v>
      </c>
      <c r="B53" s="13"/>
      <c r="C53" s="13"/>
      <c r="D53" s="21">
        <v>299</v>
      </c>
    </row>
    <row r="54" spans="1:4" x14ac:dyDescent="0.3">
      <c r="A54" s="18">
        <v>0.03</v>
      </c>
      <c r="B54" s="10"/>
      <c r="C54" s="10"/>
      <c r="D54" s="19">
        <v>1459</v>
      </c>
    </row>
    <row r="55" spans="1:4" x14ac:dyDescent="0.3">
      <c r="A55" s="20">
        <v>0.41</v>
      </c>
      <c r="B55" s="13"/>
      <c r="C55" s="13"/>
      <c r="D55" s="21">
        <v>799</v>
      </c>
    </row>
    <row r="56" spans="1:4" x14ac:dyDescent="0.3">
      <c r="A56" s="18">
        <v>0.45</v>
      </c>
      <c r="B56" s="10"/>
      <c r="C56" s="10"/>
      <c r="D56" s="19">
        <v>499</v>
      </c>
    </row>
    <row r="57" spans="1:4" x14ac:dyDescent="0.3">
      <c r="A57" s="20">
        <v>0.48</v>
      </c>
      <c r="B57" s="13"/>
      <c r="C57" s="13"/>
      <c r="D57" s="21">
        <v>699</v>
      </c>
    </row>
    <row r="58" spans="1:4" x14ac:dyDescent="0.3">
      <c r="A58" s="18">
        <v>0.49</v>
      </c>
      <c r="B58" s="10"/>
      <c r="C58" s="10"/>
      <c r="D58" s="19">
        <v>799</v>
      </c>
    </row>
    <row r="59" spans="1:4" x14ac:dyDescent="0.3">
      <c r="A59" s="20">
        <v>0.27</v>
      </c>
      <c r="B59" s="13"/>
      <c r="C59" s="13"/>
      <c r="D59" s="21">
        <v>2799</v>
      </c>
    </row>
    <row r="60" spans="1:4" x14ac:dyDescent="0.3">
      <c r="A60" s="18">
        <v>0.55000000000000004</v>
      </c>
      <c r="B60" s="10"/>
      <c r="C60" s="10"/>
      <c r="D60" s="19">
        <v>399</v>
      </c>
    </row>
    <row r="61" spans="1:4" x14ac:dyDescent="0.3">
      <c r="A61" s="20">
        <v>0.13</v>
      </c>
      <c r="B61" s="13">
        <v>6</v>
      </c>
      <c r="C61" s="13">
        <v>2.5</v>
      </c>
      <c r="D61" s="21">
        <v>2170</v>
      </c>
    </row>
    <row r="62" spans="1:4" x14ac:dyDescent="0.3">
      <c r="A62" s="18">
        <v>0.54</v>
      </c>
      <c r="B62" s="10">
        <v>1</v>
      </c>
      <c r="C62" s="10">
        <v>3</v>
      </c>
      <c r="D62" s="19">
        <v>458</v>
      </c>
    </row>
    <row r="63" spans="1:4" x14ac:dyDescent="0.3">
      <c r="A63" s="20">
        <v>0.55000000000000004</v>
      </c>
      <c r="B63" s="13">
        <v>13</v>
      </c>
      <c r="C63" s="13">
        <v>2.1</v>
      </c>
      <c r="D63" s="21">
        <v>2115</v>
      </c>
    </row>
    <row r="64" spans="1:4" x14ac:dyDescent="0.3">
      <c r="A64" s="18">
        <v>0.49</v>
      </c>
      <c r="B64" s="10">
        <v>69</v>
      </c>
      <c r="C64" s="10">
        <v>2.8</v>
      </c>
      <c r="D64" s="19">
        <v>445</v>
      </c>
    </row>
    <row r="65" spans="1:4" x14ac:dyDescent="0.3">
      <c r="A65" s="20">
        <v>0.52</v>
      </c>
      <c r="B65" s="13">
        <v>15</v>
      </c>
      <c r="C65" s="13">
        <v>2.7</v>
      </c>
      <c r="D65" s="21">
        <v>325</v>
      </c>
    </row>
    <row r="66" spans="1:4" x14ac:dyDescent="0.3">
      <c r="A66" s="18">
        <v>0.22</v>
      </c>
      <c r="B66" s="10">
        <v>16</v>
      </c>
      <c r="C66" s="10">
        <v>2.9</v>
      </c>
      <c r="D66" s="19">
        <v>1220</v>
      </c>
    </row>
    <row r="67" spans="1:4" x14ac:dyDescent="0.3">
      <c r="A67" s="20">
        <v>0.45</v>
      </c>
      <c r="B67" s="13">
        <v>6</v>
      </c>
      <c r="C67" s="13">
        <v>2.2000000000000002</v>
      </c>
      <c r="D67" s="21">
        <v>990</v>
      </c>
    </row>
    <row r="68" spans="1:4" x14ac:dyDescent="0.3">
      <c r="A68" s="18">
        <v>0.5</v>
      </c>
      <c r="B68" s="10">
        <v>7</v>
      </c>
      <c r="C68" s="10">
        <v>2.2999999999999998</v>
      </c>
      <c r="D68" s="19">
        <v>1000</v>
      </c>
    </row>
    <row r="69" spans="1:4" x14ac:dyDescent="0.3">
      <c r="A69" s="20">
        <v>0.39</v>
      </c>
      <c r="B69" s="13">
        <v>5</v>
      </c>
      <c r="C69" s="13">
        <v>3</v>
      </c>
      <c r="D69" s="21">
        <v>3750</v>
      </c>
    </row>
    <row r="70" spans="1:4" x14ac:dyDescent="0.3">
      <c r="A70" s="18">
        <v>0.45</v>
      </c>
      <c r="B70" s="10">
        <v>17</v>
      </c>
      <c r="C70" s="10">
        <v>2.6</v>
      </c>
      <c r="D70" s="19">
        <v>382</v>
      </c>
    </row>
    <row r="71" spans="1:4" x14ac:dyDescent="0.3">
      <c r="A71" s="20">
        <v>0.28999999999999998</v>
      </c>
      <c r="B71" s="13">
        <v>5</v>
      </c>
      <c r="C71" s="13">
        <v>3</v>
      </c>
      <c r="D71" s="21">
        <v>2300</v>
      </c>
    </row>
    <row r="72" spans="1:4" x14ac:dyDescent="0.3">
      <c r="A72" s="18">
        <v>0.43</v>
      </c>
      <c r="B72" s="10">
        <v>6</v>
      </c>
      <c r="C72" s="10">
        <v>2.2999999999999998</v>
      </c>
      <c r="D72" s="19">
        <v>345</v>
      </c>
    </row>
    <row r="73" spans="1:4" x14ac:dyDescent="0.3">
      <c r="A73" s="20">
        <v>0.43</v>
      </c>
      <c r="B73" s="13">
        <v>5</v>
      </c>
      <c r="C73" s="13">
        <v>3</v>
      </c>
      <c r="D73" s="21">
        <v>509</v>
      </c>
    </row>
    <row r="74" spans="1:4" x14ac:dyDescent="0.3">
      <c r="A74" s="18">
        <v>0.47</v>
      </c>
      <c r="B74" s="10">
        <v>6</v>
      </c>
      <c r="C74" s="10">
        <v>2.2000000000000002</v>
      </c>
      <c r="D74" s="19">
        <v>968</v>
      </c>
    </row>
    <row r="75" spans="1:4" x14ac:dyDescent="0.3">
      <c r="A75" s="20">
        <v>0.47</v>
      </c>
      <c r="B75" s="13">
        <v>7</v>
      </c>
      <c r="C75" s="13">
        <v>2.1</v>
      </c>
      <c r="D75" s="21">
        <v>1570</v>
      </c>
    </row>
    <row r="76" spans="1:4" x14ac:dyDescent="0.3">
      <c r="A76" s="18">
        <v>0.47</v>
      </c>
      <c r="B76" s="10"/>
      <c r="C76" s="10"/>
      <c r="D76" s="19">
        <v>790</v>
      </c>
    </row>
    <row r="77" spans="1:4" x14ac:dyDescent="0.3">
      <c r="A77" s="20">
        <v>0.43</v>
      </c>
      <c r="B77" s="13"/>
      <c r="C77" s="13"/>
      <c r="D77" s="21">
        <v>690</v>
      </c>
    </row>
    <row r="78" spans="1:4" x14ac:dyDescent="0.3">
      <c r="A78" s="18">
        <v>0.04</v>
      </c>
      <c r="B78" s="10"/>
      <c r="C78" s="10"/>
      <c r="D78" s="19">
        <v>1732</v>
      </c>
    </row>
    <row r="79" spans="1:4" x14ac:dyDescent="0.3">
      <c r="A79" s="20">
        <v>0.49</v>
      </c>
      <c r="B79" s="13"/>
      <c r="C79" s="13"/>
      <c r="D79" s="21">
        <v>230</v>
      </c>
    </row>
    <row r="80" spans="1:4" x14ac:dyDescent="0.3">
      <c r="A80" s="18">
        <v>0.46</v>
      </c>
      <c r="B80" s="10">
        <v>1</v>
      </c>
      <c r="C80" s="10">
        <v>3</v>
      </c>
      <c r="D80" s="19">
        <v>1189</v>
      </c>
    </row>
    <row r="81" spans="1:4" x14ac:dyDescent="0.3">
      <c r="A81" s="20">
        <v>0.49</v>
      </c>
      <c r="B81" s="13">
        <v>1</v>
      </c>
      <c r="C81" s="13">
        <v>5</v>
      </c>
      <c r="D81" s="21">
        <v>979</v>
      </c>
    </row>
    <row r="82" spans="1:4" x14ac:dyDescent="0.3">
      <c r="A82" s="18">
        <v>0.36</v>
      </c>
      <c r="B82" s="10"/>
      <c r="C82" s="10"/>
      <c r="D82" s="19">
        <v>1460</v>
      </c>
    </row>
    <row r="83" spans="1:4" x14ac:dyDescent="0.3">
      <c r="A83" s="20">
        <v>0.02</v>
      </c>
      <c r="B83" s="13"/>
      <c r="C83" s="13"/>
      <c r="D83" s="21">
        <v>1666</v>
      </c>
    </row>
    <row r="84" spans="1:4" x14ac:dyDescent="0.3">
      <c r="A84" s="18">
        <v>0.49</v>
      </c>
      <c r="B84" s="10">
        <v>1</v>
      </c>
      <c r="C84" s="10">
        <v>4</v>
      </c>
      <c r="D84" s="19">
        <v>330</v>
      </c>
    </row>
    <row r="85" spans="1:4" x14ac:dyDescent="0.3">
      <c r="A85" s="20">
        <v>0.49</v>
      </c>
      <c r="B85" s="13"/>
      <c r="C85" s="13"/>
      <c r="D85" s="21">
        <v>176</v>
      </c>
    </row>
    <row r="86" spans="1:4" x14ac:dyDescent="0.3">
      <c r="A86" s="18">
        <v>0.14000000000000001</v>
      </c>
      <c r="B86" s="10"/>
      <c r="C86" s="10"/>
      <c r="D86" s="19">
        <v>1466</v>
      </c>
    </row>
    <row r="87" spans="1:4" x14ac:dyDescent="0.3">
      <c r="A87" s="20">
        <v>0.49</v>
      </c>
      <c r="B87" s="13"/>
      <c r="C87" s="13"/>
      <c r="D87" s="21">
        <v>274</v>
      </c>
    </row>
    <row r="88" spans="1:4" x14ac:dyDescent="0.3">
      <c r="A88" s="18">
        <v>0.11</v>
      </c>
      <c r="B88" s="10"/>
      <c r="C88" s="10"/>
      <c r="D88" s="19">
        <v>799</v>
      </c>
    </row>
    <row r="89" spans="1:4" x14ac:dyDescent="0.3">
      <c r="A89" s="20">
        <v>0.49</v>
      </c>
      <c r="B89" s="13"/>
      <c r="C89" s="13"/>
      <c r="D89" s="21">
        <v>657</v>
      </c>
    </row>
    <row r="90" spans="1:4" x14ac:dyDescent="0.3">
      <c r="A90" s="18">
        <v>0.14000000000000001</v>
      </c>
      <c r="B90" s="10"/>
      <c r="C90" s="10"/>
      <c r="D90" s="19">
        <v>1468</v>
      </c>
    </row>
    <row r="91" spans="1:4" x14ac:dyDescent="0.3">
      <c r="A91" s="20">
        <v>0.43</v>
      </c>
      <c r="B91" s="13"/>
      <c r="C91" s="13"/>
      <c r="D91" s="21">
        <v>630</v>
      </c>
    </row>
    <row r="92" spans="1:4" x14ac:dyDescent="0.3">
      <c r="A92" s="18">
        <v>0.5</v>
      </c>
      <c r="B92" s="10"/>
      <c r="C92" s="10"/>
      <c r="D92" s="19">
        <v>850</v>
      </c>
    </row>
    <row r="93" spans="1:4" x14ac:dyDescent="0.3">
      <c r="A93" s="20">
        <v>0.48</v>
      </c>
      <c r="B93" s="13"/>
      <c r="C93" s="13"/>
      <c r="D93" s="21">
        <v>1300</v>
      </c>
    </row>
    <row r="94" spans="1:4" x14ac:dyDescent="0.3">
      <c r="A94" s="18">
        <v>0.48</v>
      </c>
      <c r="B94" s="10"/>
      <c r="C94" s="10"/>
      <c r="D94" s="19">
        <v>105</v>
      </c>
    </row>
    <row r="95" spans="1:4" x14ac:dyDescent="0.3">
      <c r="A95" s="20">
        <v>0.47</v>
      </c>
      <c r="B95" s="13"/>
      <c r="C95" s="13"/>
      <c r="D95" s="21">
        <v>899</v>
      </c>
    </row>
    <row r="96" spans="1:4" x14ac:dyDescent="0.3">
      <c r="A96" s="18">
        <v>0.5</v>
      </c>
      <c r="B96" s="10"/>
      <c r="C96" s="10"/>
      <c r="D96" s="19">
        <v>1200</v>
      </c>
    </row>
    <row r="97" spans="1:4" x14ac:dyDescent="0.3">
      <c r="A97" s="20">
        <v>0.08</v>
      </c>
      <c r="B97" s="13"/>
      <c r="C97" s="13"/>
      <c r="D97" s="21">
        <v>1526</v>
      </c>
    </row>
    <row r="98" spans="1:4" x14ac:dyDescent="0.3">
      <c r="A98" s="18">
        <v>0.02</v>
      </c>
      <c r="B98" s="10"/>
      <c r="C98" s="10"/>
      <c r="D98" s="19">
        <v>1462</v>
      </c>
    </row>
    <row r="99" spans="1:4" x14ac:dyDescent="0.3">
      <c r="A99" s="20">
        <v>0.49</v>
      </c>
      <c r="B99" s="13"/>
      <c r="C99" s="13"/>
      <c r="D99" s="21">
        <v>248</v>
      </c>
    </row>
    <row r="100" spans="1:4" x14ac:dyDescent="0.3">
      <c r="A100" s="18">
        <v>0.04</v>
      </c>
      <c r="B100" s="10"/>
      <c r="C100" s="10"/>
      <c r="D100" s="19">
        <v>3546</v>
      </c>
    </row>
    <row r="101" spans="1:4" x14ac:dyDescent="0.3">
      <c r="A101" s="20">
        <v>0.49</v>
      </c>
      <c r="B101" s="13"/>
      <c r="C101" s="13"/>
      <c r="D101" s="21">
        <v>525</v>
      </c>
    </row>
    <row r="102" spans="1:4" x14ac:dyDescent="0.3">
      <c r="A102" s="18">
        <v>0.42</v>
      </c>
      <c r="B102" s="10"/>
      <c r="C102" s="10"/>
      <c r="D102" s="19">
        <v>1080</v>
      </c>
    </row>
    <row r="103" spans="1:4" x14ac:dyDescent="0.3">
      <c r="A103" s="20">
        <v>0.21</v>
      </c>
      <c r="B103" s="13">
        <v>1</v>
      </c>
      <c r="C103" s="13">
        <v>5</v>
      </c>
      <c r="D103" s="21">
        <v>3640</v>
      </c>
    </row>
    <row r="104" spans="1:4" x14ac:dyDescent="0.3">
      <c r="A104" s="18">
        <v>0.41</v>
      </c>
      <c r="B104" s="10"/>
      <c r="C104" s="10"/>
      <c r="D104" s="19">
        <v>1420</v>
      </c>
    </row>
    <row r="105" spans="1:4" x14ac:dyDescent="0.3">
      <c r="A105" s="20">
        <v>0.01</v>
      </c>
      <c r="B105" s="13"/>
      <c r="C105" s="13"/>
      <c r="D105" s="21">
        <v>1875</v>
      </c>
    </row>
    <row r="106" spans="1:4" x14ac:dyDescent="0.3">
      <c r="A106" s="18">
        <v>0.24</v>
      </c>
      <c r="B106" s="10"/>
      <c r="C106" s="10"/>
      <c r="D106" s="19">
        <v>198</v>
      </c>
    </row>
    <row r="107" spans="1:4" x14ac:dyDescent="0.3">
      <c r="A107" s="20">
        <v>0.34</v>
      </c>
      <c r="B107" s="13"/>
      <c r="C107" s="13"/>
      <c r="D107" s="21">
        <v>1150</v>
      </c>
    </row>
    <row r="108" spans="1:4" x14ac:dyDescent="0.3">
      <c r="A108" s="18">
        <v>0.34</v>
      </c>
      <c r="B108" s="10"/>
      <c r="C108" s="10"/>
      <c r="D108" s="19">
        <v>1190</v>
      </c>
    </row>
    <row r="109" spans="1:4" x14ac:dyDescent="0.3">
      <c r="A109" s="20">
        <v>0.02</v>
      </c>
      <c r="B109" s="13"/>
      <c r="C109" s="13"/>
      <c r="D109" s="21">
        <v>1658</v>
      </c>
    </row>
    <row r="110" spans="1:4" x14ac:dyDescent="0.3">
      <c r="A110" s="18">
        <v>0.02</v>
      </c>
      <c r="B110" s="10"/>
      <c r="C110" s="10"/>
      <c r="D110" s="19">
        <v>1768</v>
      </c>
    </row>
    <row r="111" spans="1:4" x14ac:dyDescent="0.3">
      <c r="A111" s="20">
        <v>0.64</v>
      </c>
      <c r="B111" s="13"/>
      <c r="C111" s="13"/>
      <c r="D111" s="21">
        <v>199</v>
      </c>
    </row>
    <row r="112" spans="1:4" x14ac:dyDescent="0.3">
      <c r="A112" s="18">
        <v>0.5</v>
      </c>
      <c r="B112" s="10">
        <v>1</v>
      </c>
      <c r="C112" s="10">
        <v>2</v>
      </c>
      <c r="D112" s="19">
        <v>450</v>
      </c>
    </row>
    <row r="113" spans="1:4" x14ac:dyDescent="0.3">
      <c r="A113" s="22">
        <v>0.47</v>
      </c>
      <c r="B113" s="14"/>
      <c r="C113" s="14"/>
      <c r="D113" s="23">
        <v>169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B7C9-8DDF-4F06-A47A-85505C03E2D8}">
  <dimension ref="A1"/>
  <sheetViews>
    <sheetView topLeftCell="A7" zoomScale="85" zoomScaleNormal="85" workbookViewId="0">
      <selection activeCell="C28" sqref="C28"/>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AF35C-B3D5-40AD-9350-E494DA5793B1}">
  <dimension ref="A1"/>
  <sheetViews>
    <sheetView tabSelected="1" topLeftCell="A7" workbookViewId="0">
      <selection sqref="A1:XFD1048576"/>
    </sheetView>
  </sheetViews>
  <sheetFormatPr defaultRowHeight="14.4" x14ac:dyDescent="0.3"/>
  <cols>
    <col min="1" max="16384" width="8.88671875" style="26"/>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vt:lpstr>
      <vt:lpstr>Top 10 Prodycts by Ratings</vt:lpstr>
      <vt:lpstr>Top10 Products by Reviews</vt:lpstr>
      <vt:lpstr>Top 10 Products by Discount</vt:lpstr>
      <vt:lpstr>Discount vs Reviews</vt:lpstr>
      <vt:lpstr>Ratings vs Reviews</vt:lpstr>
      <vt:lpstr>Product vs Rating cat</vt:lpstr>
      <vt:lpstr>Product vs Discount cat</vt:lpstr>
      <vt:lpstr>Excel_jumia_dataset_Clean</vt:lpstr>
      <vt:lpstr>Reviews Graph</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Odhiambo Sungurah</dc:creator>
  <cp:lastModifiedBy>Odhiambo Sungurah</cp:lastModifiedBy>
  <dcterms:created xsi:type="dcterms:W3CDTF">2026-06-09T20:01:49Z</dcterms:created>
  <dcterms:modified xsi:type="dcterms:W3CDTF">2026-06-12T13:44:12Z</dcterms:modified>
</cp:coreProperties>
</file>